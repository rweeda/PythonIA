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mcng-my.sharepoint.com/personal/weer_adm_montessoricollege_nl/Documents/Documenten/GitHub/PythonIA/architectuur/"/>
    </mc:Choice>
  </mc:AlternateContent>
  <xr:revisionPtr revIDLastSave="278" documentId="8_{AC9CDCB0-B688-4EE6-8F66-ABCEC62C3518}" xr6:coauthVersionLast="47" xr6:coauthVersionMax="47" xr10:uidLastSave="{E21D044E-A802-4C73-A5E8-3A97E77ADD26}"/>
  <bookViews>
    <workbookView xWindow="5600" yWindow="0" windowWidth="14400" windowHeight="10170" firstSheet="1" activeTab="1" xr2:uid="{C2832C9E-59EF-4CA3-A9DE-BB1F2A9701D9}"/>
  </bookViews>
  <sheets>
    <sheet name="Template" sheetId="16" state="hidden" r:id="rId1"/>
    <sheet name="Eindopdracht PC" sheetId="17" r:id="rId2"/>
    <sheet name="Toets A" sheetId="13" state="hidden" r:id="rId3"/>
    <sheet name="Toets B" sheetId="15" state="hidden" r:id="rId4"/>
    <sheet name="TMP" sheetId="5" state="hidden" r:id="rId5"/>
  </sheets>
  <definedNames>
    <definedName name="_ftn1" localSheetId="0">Template!$B$32</definedName>
    <definedName name="_ftn1" localSheetId="4">TMP!$B$21</definedName>
    <definedName name="_ftn2" localSheetId="0">Template!$B$33</definedName>
    <definedName name="_ftn2" localSheetId="4">TMP!$B$22</definedName>
    <definedName name="_xlnm.Print_Area" localSheetId="1">'Eindopdracht PC'!#REF!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2" i="17" l="1"/>
  <c r="P12" i="17"/>
  <c r="Q12" i="17"/>
  <c r="R12" i="17"/>
  <c r="O13" i="17"/>
  <c r="P13" i="17"/>
  <c r="Q13" i="17"/>
  <c r="R13" i="17"/>
  <c r="N13" i="17" l="1"/>
  <c r="C13" i="17" s="1"/>
  <c r="N12" i="17"/>
  <c r="C12" i="17" s="1"/>
  <c r="O7" i="17" l="1"/>
  <c r="P7" i="17"/>
  <c r="Q7" i="17"/>
  <c r="R7" i="17"/>
  <c r="R16" i="17"/>
  <c r="Q16" i="17"/>
  <c r="P16" i="17"/>
  <c r="O16" i="17"/>
  <c r="R15" i="17"/>
  <c r="Q15" i="17"/>
  <c r="P15" i="17"/>
  <c r="O15" i="17"/>
  <c r="R14" i="17"/>
  <c r="Q14" i="17"/>
  <c r="P14" i="17"/>
  <c r="O14" i="17"/>
  <c r="R11" i="17"/>
  <c r="Q11" i="17"/>
  <c r="P11" i="17"/>
  <c r="O11" i="17"/>
  <c r="R10" i="17"/>
  <c r="Q10" i="17"/>
  <c r="P10" i="17"/>
  <c r="O10" i="17"/>
  <c r="R9" i="17"/>
  <c r="Q9" i="17"/>
  <c r="P9" i="17"/>
  <c r="O9" i="17"/>
  <c r="R8" i="17"/>
  <c r="Q8" i="17"/>
  <c r="P8" i="17"/>
  <c r="O8" i="17"/>
  <c r="G6" i="17"/>
  <c r="N16" i="17" l="1"/>
  <c r="N7" i="17"/>
  <c r="C7" i="17" s="1"/>
  <c r="N8" i="17"/>
  <c r="C8" i="17" s="1"/>
  <c r="N14" i="17"/>
  <c r="C14" i="17" s="1"/>
  <c r="N15" i="17"/>
  <c r="N11" i="17"/>
  <c r="C11" i="17" s="1"/>
  <c r="N9" i="17"/>
  <c r="C9" i="17" s="1"/>
  <c r="N10" i="17"/>
  <c r="C10" i="17" s="1"/>
  <c r="M4" i="17" l="1"/>
  <c r="H30" i="16"/>
  <c r="B29" i="16" s="1"/>
  <c r="K29" i="16"/>
  <c r="I29" i="16"/>
  <c r="G29" i="16"/>
  <c r="E29" i="16"/>
  <c r="L30" i="16" s="1"/>
  <c r="L9" i="16" l="1"/>
  <c r="L10" i="16"/>
  <c r="G19" i="5"/>
  <c r="J18" i="5"/>
  <c r="H18" i="5"/>
  <c r="F18" i="5"/>
  <c r="D18" i="5"/>
  <c r="K19" i="5" s="1"/>
  <c r="K8" i="5" s="1"/>
  <c r="B18" i="5"/>
  <c r="K9" i="5"/>
</calcChain>
</file>

<file path=xl/sharedStrings.xml><?xml version="1.0" encoding="utf-8"?>
<sst xmlns="http://schemas.openxmlformats.org/spreadsheetml/2006/main" count="114" uniqueCount="87">
  <si>
    <t>Op tijd ingeleverd</t>
  </si>
  <si>
    <t>Doel</t>
  </si>
  <si>
    <t>Naam</t>
  </si>
  <si>
    <t>School</t>
  </si>
  <si>
    <t xml:space="preserve"> </t>
  </si>
  <si>
    <t>Ja</t>
  </si>
  <si>
    <t>Ja maar/ enigszins</t>
  </si>
  <si>
    <t>Beperkt</t>
  </si>
  <si>
    <t>Niet</t>
  </si>
  <si>
    <t>Aantal punten:</t>
  </si>
  <si>
    <t>[1] DV staat voor deelvraag</t>
  </si>
  <si>
    <t>[2] Als in een rij meerdere onderdelen worden benoemd, beoordeel dan eerst elk onderdeel apart en neem daarvan het gemiddelde.</t>
  </si>
  <si>
    <t>MP2</t>
  </si>
  <si>
    <t>DV 1: begripsvraag: heeft de leerlingen de bedoeling van de app goed begrepen?</t>
  </si>
  <si>
    <t>DV 2: praktisch: in hoeverre is de leerling echt met de app aan de slag gegaan en kan dat beschrijven?</t>
  </si>
  <si>
    <t>DV 3: simpele reflectie: Kan de leerling de ervaring beschrijven?</t>
  </si>
  <si>
    <t>DV 4: simpele analyse: Kan de leerling een logische conclusie trekken?</t>
  </si>
  <si>
    <r>
      <t xml:space="preserve">DV 5: kennis/reproductie uit de methode </t>
    </r>
    <r>
      <rPr>
        <sz val="7"/>
        <color theme="1"/>
        <rFont val="Times New Roman"/>
        <family val="1"/>
      </rPr>
      <t>(</t>
    </r>
    <r>
      <rPr>
        <sz val="11"/>
        <color theme="1"/>
        <rFont val="Calibri"/>
        <family val="2"/>
        <scheme val="minor"/>
      </rPr>
      <t>leerlingen zijn uiteraard vrij om zelf creatieve voorbeelden te noemen</t>
    </r>
    <r>
      <rPr>
        <sz val="7"/>
        <color theme="1"/>
        <rFont val="Times New Roman"/>
        <family val="1"/>
      </rPr>
      <t>)</t>
    </r>
  </si>
  <si>
    <r>
      <t>VR e</t>
    </r>
    <r>
      <rPr>
        <sz val="12"/>
        <color theme="1"/>
        <rFont val="Calibri"/>
        <family val="2"/>
        <scheme val="minor"/>
      </rPr>
      <t>n AR ervaren</t>
    </r>
  </si>
  <si>
    <t>LD</t>
  </si>
  <si>
    <t>let op zet kruisjes in de kolom 3, 2, 1 of 0</t>
  </si>
  <si>
    <t>vul evt een opmerking ter verduidelijking in</t>
  </si>
  <si>
    <t>vraag</t>
  </si>
  <si>
    <t>RTTI</t>
  </si>
  <si>
    <t>ptn</t>
  </si>
  <si>
    <t>beoordeling</t>
  </si>
  <si>
    <t>nr</t>
  </si>
  <si>
    <t>naam opdracht</t>
  </si>
  <si>
    <t>LDx</t>
  </si>
  <si>
    <t>lijst met leerdoelen</t>
  </si>
  <si>
    <t>eis</t>
  </si>
  <si>
    <t>E1</t>
  </si>
  <si>
    <t>eindcijfer</t>
  </si>
  <si>
    <t>gew</t>
  </si>
  <si>
    <t>MP1</t>
  </si>
  <si>
    <t>ZET EEN KRUISJE IN DE JUISTE KOLOM - het resutaat wordt automatisch berekend</t>
  </si>
  <si>
    <t>Motivatie - advies</t>
  </si>
  <si>
    <t>Ingeleverd voor de start van de de nieuwe week</t>
  </si>
  <si>
    <t>Op of voor vrijdag ingeleverd</t>
  </si>
  <si>
    <t>Samenstelling PC</t>
  </si>
  <si>
    <t>Beschrijving van de keuze is goed</t>
  </si>
  <si>
    <t xml:space="preserve">Beschrijving keuze PC is voldoende
</t>
  </si>
  <si>
    <t>3 randapparatuur genoemd</t>
  </si>
  <si>
    <t>2 randapparatuur genoemd</t>
  </si>
  <si>
    <t>Onderdelen</t>
  </si>
  <si>
    <t>Motivatie van de keuze van de onderdelen</t>
  </si>
  <si>
    <t>Van elk onderdeel wordt een goede motivatie gegeven</t>
  </si>
  <si>
    <t>Van elk onderdeel wordt een redelijke motivatie gegeven</t>
  </si>
  <si>
    <t>Niet van elk onderdeel is een motivatie gegeven</t>
  </si>
  <si>
    <t>Van meer dan 3 onderdelen ontbreekt de motivatie</t>
  </si>
  <si>
    <t>Totaalprijs</t>
  </si>
  <si>
    <t>Er is niet op de totaalprijs gelet.
De totaalprijs is tot maximaal 15% te hoog</t>
  </si>
  <si>
    <t>Prijs en samenstelling PC</t>
  </si>
  <si>
    <t xml:space="preserve">Er is duidelijk goed nagedacht over alle onderdelen, ook besturingssysteem, office pakket en beveiliging
De totaalprijs valt binnen het budget
</t>
  </si>
  <si>
    <t>Er is niet helemaal goed nagedacht over de totaalprijs van de onderdelen. De totaal prijs klopt wel, maar de onderdelen vormen geen goede PC en/of de totaalprijs is net te hoog</t>
  </si>
  <si>
    <t>x</t>
  </si>
  <si>
    <t>Reflectie</t>
  </si>
  <si>
    <t>Reflectie keuze adhv eisen/doelen tov budget</t>
  </si>
  <si>
    <t>De aansluiting op de eisen van de gebruiker wordt slechts kort of onduidelijk benoemd. Er is geen duidelijke reflectie op wat bij een ander budget anders zou zijn.</t>
  </si>
  <si>
    <t>Er is geen herkenbare koppeling tussen de keuze en de gestelde eisen en er wordt niets gezegd over alternatieven of budgetvariaties.</t>
  </si>
  <si>
    <t>Er wordt uitgelegd dat de keuze past bij de gebruiker, maar de toelichting is globaal. Er worden alternatieven genoemd bij een ander budget, maar zonder duidelijke of inhoudelijke motivatie.</t>
  </si>
  <si>
    <t>De gekozen onderdelen sluiten volledig aan bij de motivatie (bijv. gaming, video-editing, kantoorwerk). De keuzes zijn logisch en duidelijk onderbouwd.</t>
  </si>
  <si>
    <t>De onderdelen passen grotendeels bij de motivatie, maar één onderdeel is wat overdreven of juist te zwak.</t>
  </si>
  <si>
    <t>De onderdelen passen nauwelijks bij de motivatie; meerdere keuzes sluiten niet aan op het beoogde gebruik.</t>
  </si>
  <si>
    <t>Er is geen relatie tussen motivatie en gekozen onderdelen of motivatie ontbreekt volledig.</t>
  </si>
  <si>
    <t>Alle onderdelen zijn volledig compatibel: juiste socket, juiste RAM-soort, voldoende wattage PSU, GPU past in de kast, juiste form factor moederbord enz.</t>
  </si>
  <si>
    <t>Over het algemeen compatibel, maar één detail is twijfelachtig (bv. PSU krap, kast klein, RAM net niet optimaal).</t>
  </si>
  <si>
    <t>Meerdere onderdelen zijn niet compatibel of zouden in het echt problemen opleveren.</t>
  </si>
  <si>
    <t>De PC-build is niet samen te stellen door ernstige incompatibiliteit (socket fout, PSU veel te zwak, GPU past totaal niet, etc.).</t>
  </si>
  <si>
    <t>Onderdelen compatibel</t>
  </si>
  <si>
    <t>Samenstelling past bij motivatie</t>
  </si>
  <si>
    <t>Naam, type, prijs en afbeelding zijn gegeven per onderdeel</t>
  </si>
  <si>
    <t>Er ontbreken meerdere gegevens (bijv. prijs, type, afbeeldingen). Presentatie is rommelig of inconsistent. Delen lijken overgenomen zonder bewerking of uitleg.</t>
  </si>
  <si>
    <t>Bijna alle onderdelen zijn opgenomen, kleine onvolledigheid toegestaan. Naam, type en afbeeldingen zijn in de meeste gevallen aanwezig. Prijzen zijn redelijk realistisch. Overzicht is in grote lijnen duidelijk, maar niet strak gepresenteerd.</t>
  </si>
  <si>
    <t>Alle onderdelen zijn opgenomen. Naam, type, prijs en afbeelding zijn duidelijk en correct vermeld. Plaatjes zijn relevant en goed gekozen. De informatie vormt een overzichtelijk en logisch geheel.</t>
  </si>
  <si>
    <t>Meer dan twee essentiële gegevens zijn bij meerdere onderdelen afwezig (naam/type/prijs/plaatje). Onderdelenlijst is onvolledig of onbruikbaar.</t>
  </si>
  <si>
    <t>Beschrijving van de PC-keuze is te beperkt of onvoldoende uitgewerkt. Er ontbreekt randapparatuur</t>
  </si>
  <si>
    <t>Er is een goede motivatie voor wat je met de PC wilt doen</t>
  </si>
  <si>
    <t>Minimaal 4 rand apparatuur genoemd</t>
  </si>
  <si>
    <t>In het weekend ingeleverd</t>
  </si>
  <si>
    <t>Max 1 week te laat</t>
  </si>
  <si>
    <t>Meer dan 1 week te laat</t>
  </si>
  <si>
    <t>Voldoet niet aan de opdracht</t>
  </si>
  <si>
    <t>Goede keuze van 4 verschillende randapparatuur</t>
  </si>
  <si>
    <t>Er is totaal niet op de prijs gelet.
Totaalprijs is veel te hoog</t>
  </si>
  <si>
    <t>Er is duidelijk nagedacht over hoe de gekozen computer aansluit bij de eisen en doelen van de gebruiker. Er wordt inzicht getoond in alternatieven en er wordt helder uitgelegd wat er bij een ander budget anders gekozen zou worden.</t>
  </si>
  <si>
    <t>Eindopdracht Architectuur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</si>
</sst>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11"/>
      <color rgb="FF000000"/>
      <name val="Calibri"/>
      <family val="2"/>
      <scheme val="minor"/>
    </font>
    <font>
      <sz val="7"/>
      <color theme="1"/>
      <name val="Times New Roman"/>
      <family val="1"/>
    </font>
    <font>
      <u/>
      <sz val="11"/>
      <color theme="10"/>
      <name val="Calibri"/>
      <family val="2"/>
      <scheme val="minor"/>
    </font>
    <font>
      <sz val="12"/>
      <color theme="1"/>
      <name val="Calibri"/>
      <family val="2"/>
      <scheme val="minor"/>
    </font>
    <font>
      <b/>
      <sz val="16"/>
      <color theme="1"/>
      <name val="Calibri"/>
      <family val="2"/>
      <scheme val="minor"/>
    </font>
    <font>
      <sz val="11"/>
      <color theme="1"/>
      <name val="Calibri"/>
      <family val="1"/>
      <scheme val="minor"/>
    </font>
    <font>
      <b/>
      <sz val="20"/>
      <color theme="1"/>
      <name val="Calibri"/>
      <family val="2"/>
      <scheme val="minor"/>
    </font>
    <font>
      <b/>
      <sz val="14"/>
      <color theme="1"/>
      <name val="Calibri"/>
      <family val="2"/>
      <scheme val="minor"/>
    </font>
    <font>
      <b/>
      <sz val="12"/>
      <color theme="0"/>
      <name val="Calibri"/>
      <family val="2"/>
      <scheme val="minor"/>
    </font>
    <font>
      <sz val="11"/>
      <color rgb="FFFF0000"/>
      <name val="Calibri"/>
      <family val="2"/>
      <scheme val="minor"/>
    </font>
    <font>
      <b/>
      <sz val="12"/>
      <color rgb="FFFF0000"/>
      <name val="Calibri"/>
      <family val="2"/>
      <scheme val="minor"/>
    </font>
    <font>
      <sz val="14"/>
      <color theme="1"/>
      <name val="Calibri"/>
      <family val="2"/>
      <scheme val="minor"/>
    </font>
    <font>
      <b/>
      <sz val="14"/>
      <color rgb="FF000000"/>
      <name val="Calibri"/>
      <family val="2"/>
      <scheme val="minor"/>
    </font>
    <font>
      <sz val="14"/>
      <color theme="0"/>
      <name val="Calibri"/>
      <family val="2"/>
      <scheme val="minor"/>
    </font>
    <font>
      <sz val="14"/>
      <color rgb="FFFF0000"/>
      <name val="Calibri"/>
      <family val="2"/>
      <scheme val="minor"/>
    </font>
    <font>
      <b/>
      <sz val="22"/>
      <name val="Calibri"/>
      <family val="2"/>
      <scheme val="minor"/>
    </font>
  </fonts>
  <fills count="11">
    <fill>
      <patternFill patternType="none"/>
    </fill>
    <fill>
      <patternFill patternType="gray125"/>
    </fill>
    <fill>
      <patternFill patternType="solid">
        <fgColor rgb="FFB7DAFD"/>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rgb="FFFFFF00"/>
        <bgColor indexed="64"/>
      </patternFill>
    </fill>
    <fill>
      <patternFill patternType="solid">
        <fgColor theme="0"/>
        <bgColor theme="0" tint="-0.14999847407452621"/>
      </patternFill>
    </fill>
    <fill>
      <patternFill patternType="solid">
        <fgColor theme="9" tint="0.79998168889431442"/>
        <bgColor theme="0" tint="-0.14999847407452621"/>
      </patternFill>
    </fill>
    <fill>
      <patternFill patternType="solid">
        <fgColor theme="0" tint="-4.9989318521683403E-2"/>
        <bgColor theme="0" tint="-0.14999847407452621"/>
      </patternFill>
    </fill>
    <fill>
      <patternFill patternType="solid">
        <fgColor theme="0" tint="-4.9989318521683403E-2"/>
        <bgColor indexed="64"/>
      </patternFill>
    </fill>
  </fills>
  <borders count="5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rgb="FF000000"/>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rgb="FF000000"/>
      </right>
      <top style="medium">
        <color indexed="64"/>
      </top>
      <bottom/>
      <diagonal/>
    </border>
    <border>
      <left style="medium">
        <color indexed="64"/>
      </left>
      <right style="medium">
        <color rgb="FF000000"/>
      </right>
      <top/>
      <bottom style="medium">
        <color indexed="64"/>
      </bottom>
      <diagonal/>
    </border>
    <border>
      <left style="medium">
        <color rgb="FF000000"/>
      </left>
      <right/>
      <top/>
      <bottom style="medium">
        <color indexed="64"/>
      </bottom>
      <diagonal/>
    </border>
    <border>
      <left/>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medium">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medium">
        <color rgb="FF000000"/>
      </right>
      <top style="medium">
        <color indexed="64"/>
      </top>
      <bottom/>
      <diagonal/>
    </border>
    <border>
      <left/>
      <right style="medium">
        <color rgb="FF000000"/>
      </right>
      <top/>
      <bottom style="medium">
        <color indexed="64"/>
      </bottom>
      <diagonal/>
    </border>
    <border>
      <left style="thin">
        <color indexed="64"/>
      </left>
      <right style="thin">
        <color indexed="64"/>
      </right>
      <top/>
      <bottom/>
      <diagonal/>
    </border>
    <border>
      <left style="medium">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s>
  <cellStyleXfs count="2">
    <xf numFmtId="0" fontId="0" fillId="0" borderId="0"/>
    <xf numFmtId="0" fontId="6" fillId="0" borderId="0" applyNumberFormat="0" applyFill="0" applyBorder="0" applyAlignment="0" applyProtection="0"/>
  </cellStyleXfs>
  <cellXfs count="223">
    <xf numFmtId="0" fontId="0" fillId="0" borderId="0" xfId="0"/>
    <xf numFmtId="0" fontId="1" fillId="0" borderId="0" xfId="0" applyFont="1"/>
    <xf numFmtId="0" fontId="0" fillId="0" borderId="0" xfId="0" applyAlignment="1">
      <alignment vertical="center"/>
    </xf>
    <xf numFmtId="0" fontId="0" fillId="0" borderId="0" xfId="0" applyAlignment="1">
      <alignment horizontal="left" vertical="center" indent="5"/>
    </xf>
    <xf numFmtId="0" fontId="1" fillId="2" borderId="1" xfId="0" applyFont="1" applyFill="1" applyBorder="1" applyAlignment="1">
      <alignment vertical="center" wrapText="1"/>
    </xf>
    <xf numFmtId="0" fontId="4" fillId="2" borderId="4" xfId="0" applyFont="1" applyFill="1" applyBorder="1" applyAlignment="1">
      <alignment vertical="center" wrapText="1"/>
    </xf>
    <xf numFmtId="0" fontId="0" fillId="0" borderId="0" xfId="0" applyAlignment="1">
      <alignment vertical="top"/>
    </xf>
    <xf numFmtId="0" fontId="6" fillId="0" borderId="0" xfId="1" applyAlignment="1">
      <alignment vertical="top"/>
    </xf>
    <xf numFmtId="0" fontId="4" fillId="2" borderId="9" xfId="0" applyFont="1" applyFill="1" applyBorder="1" applyAlignment="1">
      <alignment vertical="center" wrapText="1"/>
    </xf>
    <xf numFmtId="0" fontId="4" fillId="2" borderId="2" xfId="0" applyFont="1" applyFill="1" applyBorder="1" applyAlignment="1">
      <alignment vertical="center" wrapText="1"/>
    </xf>
    <xf numFmtId="0" fontId="4" fillId="2" borderId="17" xfId="0" applyFont="1" applyFill="1" applyBorder="1" applyAlignment="1">
      <alignment vertical="center" wrapText="1"/>
    </xf>
    <xf numFmtId="0" fontId="4" fillId="2" borderId="18" xfId="0" applyFont="1" applyFill="1" applyBorder="1" applyAlignment="1">
      <alignment vertical="center" wrapText="1"/>
    </xf>
    <xf numFmtId="0" fontId="0" fillId="3" borderId="6" xfId="0" applyFill="1" applyBorder="1" applyAlignment="1">
      <alignment vertical="top" wrapText="1"/>
    </xf>
    <xf numFmtId="0" fontId="0" fillId="0" borderId="12" xfId="0" applyBorder="1" applyAlignment="1">
      <alignment vertical="top"/>
    </xf>
    <xf numFmtId="0" fontId="0" fillId="0" borderId="13" xfId="0" applyBorder="1" applyAlignment="1">
      <alignment vertical="top"/>
    </xf>
    <xf numFmtId="0" fontId="0" fillId="0" borderId="14" xfId="0" applyBorder="1" applyAlignment="1">
      <alignment vertical="top"/>
    </xf>
    <xf numFmtId="0" fontId="4" fillId="2" borderId="12"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0" fillId="3" borderId="22" xfId="0" applyFill="1" applyBorder="1" applyAlignment="1">
      <alignment horizontal="center" vertical="top" wrapText="1"/>
    </xf>
    <xf numFmtId="0" fontId="2" fillId="0" borderId="0" xfId="0" applyFont="1" applyAlignment="1">
      <alignment vertical="top"/>
    </xf>
    <xf numFmtId="0" fontId="0" fillId="0" borderId="1" xfId="0" applyBorder="1" applyAlignment="1">
      <alignment vertical="top"/>
    </xf>
    <xf numFmtId="0" fontId="0" fillId="0" borderId="12" xfId="0" applyBorder="1" applyAlignment="1" applyProtection="1">
      <alignment horizontal="center" vertical="top" wrapText="1"/>
      <protection locked="0"/>
    </xf>
    <xf numFmtId="0" fontId="0" fillId="0" borderId="0" xfId="0" applyAlignment="1" applyProtection="1">
      <alignment horizontal="center" vertical="top" wrapText="1"/>
      <protection locked="0"/>
    </xf>
    <xf numFmtId="0" fontId="0" fillId="0" borderId="10" xfId="0" applyBorder="1" applyAlignment="1">
      <alignment vertical="top"/>
    </xf>
    <xf numFmtId="0" fontId="0" fillId="0" borderId="14" xfId="0" applyBorder="1" applyAlignment="1" applyProtection="1">
      <alignment vertical="top" wrapText="1"/>
      <protection locked="0"/>
    </xf>
    <xf numFmtId="0" fontId="0" fillId="0" borderId="14" xfId="0" applyBorder="1" applyAlignment="1" applyProtection="1">
      <alignment horizontal="center" vertical="top" wrapText="1"/>
      <protection locked="0"/>
    </xf>
    <xf numFmtId="0" fontId="0" fillId="0" borderId="23" xfId="0" applyBorder="1" applyAlignment="1" applyProtection="1">
      <alignment horizontal="center" vertical="top" wrapText="1"/>
      <protection locked="0"/>
    </xf>
    <xf numFmtId="0" fontId="0" fillId="0" borderId="0" xfId="0" applyAlignment="1">
      <alignment horizontal="left" vertical="center"/>
    </xf>
    <xf numFmtId="0" fontId="3" fillId="0" borderId="0" xfId="0" applyFont="1" applyAlignment="1">
      <alignment vertical="top"/>
    </xf>
    <xf numFmtId="0" fontId="3" fillId="2" borderId="15" xfId="0" applyFont="1" applyFill="1" applyBorder="1" applyAlignment="1" applyProtection="1">
      <alignment vertical="center" wrapText="1"/>
      <protection locked="0"/>
    </xf>
    <xf numFmtId="0" fontId="3" fillId="2" borderId="16" xfId="0" applyFont="1" applyFill="1" applyBorder="1" applyAlignment="1" applyProtection="1">
      <alignment vertical="center" wrapText="1"/>
      <protection locked="0"/>
    </xf>
    <xf numFmtId="0" fontId="0" fillId="4" borderId="22" xfId="0" applyFill="1" applyBorder="1" applyAlignment="1">
      <alignment horizontal="center" vertical="top" wrapText="1"/>
    </xf>
    <xf numFmtId="0" fontId="0" fillId="5" borderId="6" xfId="0" applyFill="1" applyBorder="1" applyAlignment="1">
      <alignment vertical="top" wrapText="1"/>
    </xf>
    <xf numFmtId="0" fontId="1" fillId="5" borderId="1" xfId="0" applyFont="1" applyFill="1" applyBorder="1" applyAlignment="1">
      <alignment vertical="center" wrapText="1"/>
    </xf>
    <xf numFmtId="0" fontId="3" fillId="5" borderId="15" xfId="0" applyFont="1" applyFill="1" applyBorder="1" applyAlignment="1" applyProtection="1">
      <alignment vertical="center" wrapText="1"/>
      <protection locked="0"/>
    </xf>
    <xf numFmtId="0" fontId="4" fillId="5" borderId="9" xfId="0" applyFont="1" applyFill="1" applyBorder="1" applyAlignment="1">
      <alignment vertical="center" wrapText="1"/>
    </xf>
    <xf numFmtId="0" fontId="4" fillId="5" borderId="2" xfId="0" applyFont="1" applyFill="1" applyBorder="1" applyAlignment="1">
      <alignment vertical="center" wrapText="1"/>
    </xf>
    <xf numFmtId="0" fontId="4" fillId="5" borderId="12" xfId="0" applyFont="1" applyFill="1" applyBorder="1" applyAlignment="1">
      <alignment horizontal="center" vertical="center" wrapText="1"/>
    </xf>
    <xf numFmtId="0" fontId="4" fillId="5" borderId="4" xfId="0" applyFont="1" applyFill="1" applyBorder="1" applyAlignment="1">
      <alignment vertical="center" wrapText="1"/>
    </xf>
    <xf numFmtId="0" fontId="3" fillId="5" borderId="16" xfId="0" applyFont="1" applyFill="1" applyBorder="1" applyAlignment="1" applyProtection="1">
      <alignment vertical="center" wrapText="1"/>
      <protection locked="0"/>
    </xf>
    <xf numFmtId="0" fontId="4" fillId="5" borderId="17" xfId="0" applyFont="1" applyFill="1" applyBorder="1" applyAlignment="1">
      <alignment vertical="center" wrapText="1"/>
    </xf>
    <xf numFmtId="0" fontId="4" fillId="5" borderId="18" xfId="0" applyFont="1" applyFill="1" applyBorder="1" applyAlignment="1">
      <alignment vertical="center" wrapText="1"/>
    </xf>
    <xf numFmtId="0" fontId="4" fillId="5" borderId="5" xfId="0" applyFont="1" applyFill="1" applyBorder="1" applyAlignment="1">
      <alignment horizontal="center" vertical="center" wrapText="1"/>
    </xf>
    <xf numFmtId="0" fontId="3" fillId="0" borderId="0" xfId="0" applyFont="1" applyAlignment="1">
      <alignment horizontal="center" vertical="top"/>
    </xf>
    <xf numFmtId="0" fontId="0" fillId="0" borderId="0" xfId="0" applyAlignment="1">
      <alignment horizontal="center" vertical="top"/>
    </xf>
    <xf numFmtId="0" fontId="3" fillId="5" borderId="2" xfId="0" applyFont="1" applyFill="1" applyBorder="1" applyAlignment="1" applyProtection="1">
      <alignment horizontal="center" vertical="center" wrapText="1"/>
      <protection locked="0"/>
    </xf>
    <xf numFmtId="0" fontId="3" fillId="5" borderId="18" xfId="0" applyFont="1" applyFill="1" applyBorder="1" applyAlignment="1" applyProtection="1">
      <alignment horizontal="center" vertical="center" wrapText="1"/>
      <protection locked="0"/>
    </xf>
    <xf numFmtId="0" fontId="0" fillId="4" borderId="24" xfId="0" applyFill="1" applyBorder="1" applyAlignment="1">
      <alignment horizontal="center" vertical="center" wrapText="1"/>
    </xf>
    <xf numFmtId="0" fontId="0" fillId="0" borderId="6" xfId="0" applyBorder="1" applyAlignment="1">
      <alignment horizontal="center" vertical="top" wrapText="1"/>
    </xf>
    <xf numFmtId="0" fontId="0" fillId="0" borderId="3" xfId="0" applyBorder="1" applyAlignment="1">
      <alignment horizontal="center" vertical="top" wrapText="1"/>
    </xf>
    <xf numFmtId="0" fontId="0" fillId="0" borderId="8" xfId="0" applyBorder="1" applyAlignment="1">
      <alignment horizontal="center" vertical="top" wrapText="1"/>
    </xf>
    <xf numFmtId="0" fontId="1" fillId="5" borderId="6" xfId="0" applyFont="1" applyFill="1" applyBorder="1" applyAlignment="1">
      <alignment horizontal="center" vertical="top" wrapText="1"/>
    </xf>
    <xf numFmtId="0" fontId="0" fillId="0" borderId="0" xfId="0" applyAlignment="1">
      <alignment wrapText="1"/>
    </xf>
    <xf numFmtId="0" fontId="0" fillId="0" borderId="0" xfId="0" applyAlignment="1">
      <alignment vertical="top" wrapText="1"/>
    </xf>
    <xf numFmtId="0" fontId="0" fillId="0" borderId="0" xfId="0" applyAlignment="1">
      <alignment horizontal="center"/>
    </xf>
    <xf numFmtId="0" fontId="1" fillId="0" borderId="0" xfId="0" applyFont="1" applyAlignment="1">
      <alignment horizontal="center"/>
    </xf>
    <xf numFmtId="0" fontId="1" fillId="0" borderId="0" xfId="0" applyFont="1" applyAlignment="1">
      <alignment wrapText="1"/>
    </xf>
    <xf numFmtId="0" fontId="0" fillId="0" borderId="0" xfId="0" applyAlignment="1">
      <alignment horizontal="center" vertical="top" wrapText="1"/>
    </xf>
    <xf numFmtId="0" fontId="1" fillId="0" borderId="0" xfId="0" applyFont="1" applyAlignment="1">
      <alignment vertical="top"/>
    </xf>
    <xf numFmtId="0" fontId="1" fillId="0" borderId="0" xfId="0" applyFont="1" applyAlignment="1">
      <alignment horizontal="center" vertical="top"/>
    </xf>
    <xf numFmtId="0" fontId="1" fillId="0" borderId="0" xfId="0" applyFont="1" applyAlignment="1">
      <alignment vertical="top" wrapText="1"/>
    </xf>
    <xf numFmtId="0" fontId="0" fillId="0" borderId="0" xfId="0" applyAlignment="1">
      <alignment horizontal="left" vertical="center" indent="10"/>
    </xf>
    <xf numFmtId="0" fontId="0" fillId="0" borderId="0" xfId="0" applyAlignment="1">
      <alignment horizontal="left" vertical="top"/>
    </xf>
    <xf numFmtId="0" fontId="9" fillId="0" borderId="0" xfId="0" applyFont="1" applyAlignment="1">
      <alignment horizontal="left" vertical="top"/>
    </xf>
    <xf numFmtId="0" fontId="0" fillId="0" borderId="11" xfId="0" applyBorder="1" applyAlignment="1">
      <alignment horizontal="center" vertical="top" wrapText="1"/>
    </xf>
    <xf numFmtId="0" fontId="0" fillId="0" borderId="11" xfId="0" applyBorder="1" applyAlignment="1" applyProtection="1">
      <alignment horizontal="center" vertical="top" wrapText="1"/>
      <protection locked="0"/>
    </xf>
    <xf numFmtId="0" fontId="0" fillId="0" borderId="11" xfId="0" applyBorder="1" applyAlignment="1" applyProtection="1">
      <alignment horizontal="left" vertical="top" wrapText="1"/>
      <protection locked="0"/>
    </xf>
    <xf numFmtId="0" fontId="0" fillId="0" borderId="5" xfId="0" applyBorder="1" applyAlignment="1">
      <alignment vertical="top"/>
    </xf>
    <xf numFmtId="0" fontId="0" fillId="0" borderId="7" xfId="0" applyBorder="1" applyAlignment="1">
      <alignment vertical="top" wrapText="1"/>
    </xf>
    <xf numFmtId="0" fontId="0" fillId="0" borderId="8" xfId="0" applyBorder="1" applyAlignment="1">
      <alignment vertical="top" wrapText="1"/>
    </xf>
    <xf numFmtId="0" fontId="0" fillId="7" borderId="35" xfId="0" applyFill="1" applyBorder="1" applyAlignment="1" applyProtection="1">
      <alignment horizontal="center" vertical="top" wrapText="1"/>
      <protection locked="0"/>
    </xf>
    <xf numFmtId="0" fontId="0" fillId="7" borderId="36" xfId="0" applyFill="1" applyBorder="1" applyAlignment="1" applyProtection="1">
      <alignment horizontal="center" vertical="top" wrapText="1"/>
      <protection locked="0"/>
    </xf>
    <xf numFmtId="0" fontId="0" fillId="7" borderId="39" xfId="0" applyFill="1" applyBorder="1" applyAlignment="1" applyProtection="1">
      <alignment horizontal="center" vertical="top" wrapText="1"/>
      <protection locked="0"/>
    </xf>
    <xf numFmtId="0" fontId="0" fillId="7" borderId="40" xfId="0" applyFill="1" applyBorder="1" applyAlignment="1" applyProtection="1">
      <alignment horizontal="center" vertical="top" wrapText="1"/>
      <protection locked="0"/>
    </xf>
    <xf numFmtId="0" fontId="0" fillId="9" borderId="35" xfId="0" applyFill="1" applyBorder="1" applyAlignment="1" applyProtection="1">
      <alignment horizontal="center" vertical="top" wrapText="1"/>
      <protection locked="0"/>
    </xf>
    <xf numFmtId="0" fontId="0" fillId="9" borderId="36" xfId="0" applyFill="1" applyBorder="1" applyAlignment="1" applyProtection="1">
      <alignment horizontal="center" vertical="top" wrapText="1"/>
      <protection locked="0"/>
    </xf>
    <xf numFmtId="0" fontId="0" fillId="9" borderId="43" xfId="0" applyFill="1" applyBorder="1" applyAlignment="1" applyProtection="1">
      <alignment horizontal="center" vertical="top" wrapText="1"/>
      <protection locked="0"/>
    </xf>
    <xf numFmtId="0" fontId="0" fillId="9" borderId="44" xfId="0" applyFill="1" applyBorder="1" applyAlignment="1" applyProtection="1">
      <alignment horizontal="center" vertical="top" wrapText="1"/>
      <protection locked="0"/>
    </xf>
    <xf numFmtId="0" fontId="12" fillId="0" borderId="0" xfId="0" applyFont="1" applyAlignment="1">
      <alignment vertical="top"/>
    </xf>
    <xf numFmtId="0" fontId="2" fillId="0" borderId="0" xfId="0" applyFont="1"/>
    <xf numFmtId="0" fontId="11" fillId="7" borderId="32" xfId="0" applyFont="1" applyFill="1" applyBorder="1" applyAlignment="1">
      <alignment horizontal="right" vertical="top" wrapText="1"/>
    </xf>
    <xf numFmtId="0" fontId="0" fillId="0" borderId="32" xfId="0" applyBorder="1"/>
    <xf numFmtId="0" fontId="0" fillId="0" borderId="28" xfId="0" applyBorder="1"/>
    <xf numFmtId="0" fontId="11" fillId="8" borderId="32" xfId="0" applyFont="1" applyFill="1" applyBorder="1" applyAlignment="1">
      <alignment horizontal="left" vertical="top" wrapText="1"/>
    </xf>
    <xf numFmtId="0" fontId="0" fillId="4" borderId="33" xfId="0" applyFill="1" applyBorder="1"/>
    <xf numFmtId="0" fontId="0" fillId="4" borderId="29" xfId="0" applyFill="1" applyBorder="1"/>
    <xf numFmtId="0" fontId="1" fillId="4" borderId="32" xfId="0" applyFont="1" applyFill="1" applyBorder="1"/>
    <xf numFmtId="0" fontId="0" fillId="4" borderId="32" xfId="0" applyFill="1" applyBorder="1" applyAlignment="1">
      <alignment horizontal="center"/>
    </xf>
    <xf numFmtId="9" fontId="1" fillId="4" borderId="32" xfId="0" applyNumberFormat="1" applyFont="1" applyFill="1" applyBorder="1"/>
    <xf numFmtId="0" fontId="0" fillId="4" borderId="29" xfId="0" applyFill="1" applyBorder="1" applyAlignment="1">
      <alignment horizontal="center"/>
    </xf>
    <xf numFmtId="0" fontId="11" fillId="0" borderId="46" xfId="0" applyFont="1" applyBorder="1" applyAlignment="1">
      <alignment horizontal="right" vertical="top" wrapText="1"/>
    </xf>
    <xf numFmtId="164" fontId="0" fillId="7" borderId="34" xfId="0" applyNumberFormat="1" applyFill="1" applyBorder="1" applyAlignment="1">
      <alignment horizontal="center" vertical="top" wrapText="1"/>
    </xf>
    <xf numFmtId="1" fontId="0" fillId="7" borderId="36" xfId="0" applyNumberFormat="1" applyFill="1" applyBorder="1" applyAlignment="1">
      <alignment horizontal="center" vertical="top" wrapText="1"/>
    </xf>
    <xf numFmtId="0" fontId="1" fillId="7" borderId="35" xfId="0" applyFont="1" applyFill="1" applyBorder="1" applyAlignment="1">
      <alignment vertical="top" wrapText="1"/>
    </xf>
    <xf numFmtId="0" fontId="0" fillId="7" borderId="35" xfId="0" applyFill="1" applyBorder="1" applyAlignment="1">
      <alignment vertical="top" wrapText="1"/>
    </xf>
    <xf numFmtId="0" fontId="0" fillId="7" borderId="37" xfId="0" applyFill="1" applyBorder="1" applyAlignment="1">
      <alignment vertical="top" wrapText="1"/>
    </xf>
    <xf numFmtId="0" fontId="11" fillId="0" borderId="47" xfId="0" applyFont="1" applyBorder="1" applyAlignment="1">
      <alignment horizontal="right" vertical="top" wrapText="1"/>
    </xf>
    <xf numFmtId="164" fontId="0" fillId="7" borderId="38" xfId="0" applyNumberFormat="1" applyFill="1" applyBorder="1" applyAlignment="1">
      <alignment horizontal="center" vertical="top" wrapText="1"/>
    </xf>
    <xf numFmtId="1" fontId="0" fillId="7" borderId="40" xfId="0" applyNumberFormat="1" applyFill="1" applyBorder="1" applyAlignment="1">
      <alignment horizontal="center" vertical="top" wrapText="1"/>
    </xf>
    <xf numFmtId="0" fontId="1" fillId="7" borderId="39" xfId="0" applyFont="1" applyFill="1" applyBorder="1" applyAlignment="1">
      <alignment vertical="top" wrapText="1"/>
    </xf>
    <xf numFmtId="0" fontId="0" fillId="7" borderId="39" xfId="0" applyFill="1" applyBorder="1" applyAlignment="1">
      <alignment vertical="top" wrapText="1"/>
    </xf>
    <xf numFmtId="0" fontId="11" fillId="9" borderId="34" xfId="0" applyFont="1" applyFill="1" applyBorder="1" applyAlignment="1">
      <alignment horizontal="right" vertical="top" wrapText="1"/>
    </xf>
    <xf numFmtId="164" fontId="0" fillId="9" borderId="34" xfId="0" applyNumberFormat="1" applyFill="1" applyBorder="1" applyAlignment="1">
      <alignment horizontal="center" vertical="top" wrapText="1"/>
    </xf>
    <xf numFmtId="1" fontId="0" fillId="9" borderId="36" xfId="0" applyNumberFormat="1" applyFill="1" applyBorder="1" applyAlignment="1">
      <alignment horizontal="center" vertical="top" wrapText="1"/>
    </xf>
    <xf numFmtId="0" fontId="1" fillId="9" borderId="35" xfId="0" applyFont="1" applyFill="1" applyBorder="1" applyAlignment="1">
      <alignment vertical="top" wrapText="1"/>
    </xf>
    <xf numFmtId="0" fontId="0" fillId="9" borderId="35" xfId="0" applyFill="1" applyBorder="1" applyAlignment="1">
      <alignment vertical="top" wrapText="1"/>
    </xf>
    <xf numFmtId="0" fontId="0" fillId="9" borderId="37" xfId="0" applyFill="1" applyBorder="1" applyAlignment="1">
      <alignment vertical="top" wrapText="1"/>
    </xf>
    <xf numFmtId="164" fontId="0" fillId="9" borderId="42" xfId="0" applyNumberFormat="1" applyFill="1" applyBorder="1" applyAlignment="1">
      <alignment horizontal="center" vertical="top" wrapText="1"/>
    </xf>
    <xf numFmtId="1" fontId="0" fillId="9" borderId="44" xfId="0" applyNumberFormat="1" applyFill="1" applyBorder="1" applyAlignment="1">
      <alignment horizontal="center" vertical="top" wrapText="1"/>
    </xf>
    <xf numFmtId="0" fontId="1" fillId="9" borderId="43" xfId="0" applyFont="1" applyFill="1" applyBorder="1" applyAlignment="1">
      <alignment vertical="top" wrapText="1"/>
    </xf>
    <xf numFmtId="0" fontId="0" fillId="9" borderId="43" xfId="0" applyFill="1" applyBorder="1" applyAlignment="1">
      <alignment vertical="top" wrapText="1"/>
    </xf>
    <xf numFmtId="0" fontId="0" fillId="9" borderId="45" xfId="0" applyFill="1" applyBorder="1" applyAlignment="1">
      <alignment vertical="top" wrapText="1"/>
    </xf>
    <xf numFmtId="0" fontId="0" fillId="7" borderId="48" xfId="0" applyFill="1" applyBorder="1" applyAlignment="1">
      <alignment vertical="top" wrapText="1"/>
    </xf>
    <xf numFmtId="0" fontId="14" fillId="0" borderId="0" xfId="0" applyFont="1" applyAlignment="1">
      <alignment vertical="top"/>
    </xf>
    <xf numFmtId="0" fontId="13" fillId="0" borderId="0" xfId="0" applyFont="1"/>
    <xf numFmtId="0" fontId="11" fillId="5" borderId="1" xfId="0" applyFont="1" applyFill="1" applyBorder="1" applyAlignment="1">
      <alignment vertical="center" wrapText="1"/>
    </xf>
    <xf numFmtId="0" fontId="16" fillId="5" borderId="2" xfId="0" applyFont="1" applyFill="1" applyBorder="1" applyAlignment="1">
      <alignment vertical="center" wrapText="1"/>
    </xf>
    <xf numFmtId="0" fontId="17" fillId="0" borderId="0" xfId="0" applyFont="1"/>
    <xf numFmtId="0" fontId="18" fillId="0" borderId="0" xfId="0" applyFont="1"/>
    <xf numFmtId="0" fontId="15" fillId="0" borderId="0" xfId="0" applyFont="1"/>
    <xf numFmtId="0" fontId="16" fillId="5" borderId="4" xfId="0" applyFont="1" applyFill="1" applyBorder="1" applyAlignment="1">
      <alignment vertical="center" wrapText="1"/>
    </xf>
    <xf numFmtId="0" fontId="16" fillId="5" borderId="17" xfId="0" applyFont="1" applyFill="1" applyBorder="1" applyAlignment="1">
      <alignment vertical="center" wrapText="1"/>
    </xf>
    <xf numFmtId="0" fontId="16" fillId="5" borderId="18" xfId="0" applyFont="1" applyFill="1" applyBorder="1" applyAlignment="1">
      <alignment vertical="center" wrapText="1"/>
    </xf>
    <xf numFmtId="0" fontId="13" fillId="0" borderId="0" xfId="0" applyFont="1" applyAlignment="1">
      <alignment horizontal="center"/>
    </xf>
    <xf numFmtId="164" fontId="0" fillId="7" borderId="33" xfId="0" applyNumberFormat="1" applyFill="1" applyBorder="1" applyAlignment="1">
      <alignment horizontal="center" vertical="top" wrapText="1"/>
    </xf>
    <xf numFmtId="1" fontId="0" fillId="7" borderId="29" xfId="0" applyNumberFormat="1" applyFill="1" applyBorder="1" applyAlignment="1">
      <alignment horizontal="center" vertical="top" wrapText="1"/>
    </xf>
    <xf numFmtId="0" fontId="1" fillId="7" borderId="32" xfId="0" applyFont="1" applyFill="1" applyBorder="1" applyAlignment="1">
      <alignment vertical="top" wrapText="1"/>
    </xf>
    <xf numFmtId="0" fontId="0" fillId="7" borderId="32" xfId="0" applyFill="1" applyBorder="1" applyAlignment="1" applyProtection="1">
      <alignment horizontal="center" vertical="top" wrapText="1"/>
      <protection locked="0"/>
    </xf>
    <xf numFmtId="0" fontId="0" fillId="7" borderId="32" xfId="0" applyFill="1" applyBorder="1" applyAlignment="1">
      <alignment vertical="top" wrapText="1"/>
    </xf>
    <xf numFmtId="0" fontId="0" fillId="7" borderId="29" xfId="0" applyFill="1" applyBorder="1" applyAlignment="1" applyProtection="1">
      <alignment horizontal="center" vertical="top" wrapText="1"/>
      <protection locked="0"/>
    </xf>
    <xf numFmtId="0" fontId="0" fillId="7" borderId="49" xfId="0" applyFill="1" applyBorder="1" applyAlignment="1">
      <alignment vertical="top" wrapText="1"/>
    </xf>
    <xf numFmtId="164" fontId="0" fillId="9" borderId="36" xfId="0" applyNumberFormat="1" applyFill="1" applyBorder="1" applyAlignment="1">
      <alignment horizontal="center" vertical="top" wrapText="1"/>
    </xf>
    <xf numFmtId="0" fontId="11" fillId="7" borderId="14" xfId="0" applyFont="1" applyFill="1" applyBorder="1" applyAlignment="1">
      <alignment horizontal="right" vertical="top" wrapText="1"/>
    </xf>
    <xf numFmtId="164" fontId="0" fillId="7" borderId="53" xfId="0" applyNumberFormat="1" applyFill="1" applyBorder="1" applyAlignment="1">
      <alignment horizontal="center" vertical="top" wrapText="1"/>
    </xf>
    <xf numFmtId="1" fontId="0" fillId="7" borderId="53" xfId="0" applyNumberFormat="1" applyFill="1" applyBorder="1" applyAlignment="1">
      <alignment horizontal="center" vertical="top" wrapText="1"/>
    </xf>
    <xf numFmtId="0" fontId="1" fillId="7" borderId="54" xfId="0" applyFont="1" applyFill="1" applyBorder="1" applyAlignment="1">
      <alignment vertical="top" wrapText="1"/>
    </xf>
    <xf numFmtId="0" fontId="0" fillId="7" borderId="54" xfId="0" applyFill="1" applyBorder="1" applyAlignment="1" applyProtection="1">
      <alignment horizontal="center" vertical="top" wrapText="1"/>
      <protection locked="0"/>
    </xf>
    <xf numFmtId="0" fontId="0" fillId="7" borderId="54" xfId="0" applyFill="1" applyBorder="1" applyAlignment="1">
      <alignment vertical="top" wrapText="1"/>
    </xf>
    <xf numFmtId="0" fontId="0" fillId="7" borderId="53" xfId="0" applyFill="1" applyBorder="1" applyAlignment="1" applyProtection="1">
      <alignment horizontal="center" vertical="top" wrapText="1"/>
      <protection locked="0"/>
    </xf>
    <xf numFmtId="0" fontId="0" fillId="7" borderId="55" xfId="0" applyFill="1" applyBorder="1" applyAlignment="1">
      <alignment vertical="top" wrapText="1"/>
    </xf>
    <xf numFmtId="0" fontId="11" fillId="9" borderId="56" xfId="0" applyFont="1" applyFill="1" applyBorder="1" applyAlignment="1">
      <alignment horizontal="right" vertical="top" wrapText="1"/>
    </xf>
    <xf numFmtId="0" fontId="0" fillId="6" borderId="25" xfId="0" applyFill="1" applyBorder="1" applyAlignment="1">
      <alignment horizontal="center" vertical="top"/>
    </xf>
    <xf numFmtId="0" fontId="0" fillId="6" borderId="26" xfId="0" applyFill="1" applyBorder="1" applyAlignment="1">
      <alignment horizontal="center" vertical="top"/>
    </xf>
    <xf numFmtId="0" fontId="0" fillId="6" borderId="27" xfId="0" applyFill="1" applyBorder="1" applyAlignment="1">
      <alignment horizontal="center" vertical="top"/>
    </xf>
    <xf numFmtId="0" fontId="0" fillId="6" borderId="28" xfId="0" applyFill="1" applyBorder="1" applyAlignment="1">
      <alignment horizontal="center" vertical="top"/>
    </xf>
    <xf numFmtId="0" fontId="0" fillId="6" borderId="0" xfId="0" applyFill="1" applyAlignment="1">
      <alignment horizontal="center" vertical="top"/>
    </xf>
    <xf numFmtId="0" fontId="0" fillId="6" borderId="29" xfId="0" applyFill="1" applyBorder="1" applyAlignment="1">
      <alignment horizontal="center" vertical="top"/>
    </xf>
    <xf numFmtId="0" fontId="4" fillId="5" borderId="18" xfId="0" applyFont="1" applyFill="1" applyBorder="1" applyAlignment="1">
      <alignment horizontal="center" vertical="center" wrapText="1"/>
    </xf>
    <xf numFmtId="0" fontId="4" fillId="5" borderId="6" xfId="0" applyFont="1" applyFill="1" applyBorder="1" applyAlignment="1">
      <alignment horizontal="center" vertical="center" wrapText="1"/>
    </xf>
    <xf numFmtId="0" fontId="0" fillId="4" borderId="19" xfId="0" applyFill="1" applyBorder="1" applyAlignment="1">
      <alignment vertical="center" wrapText="1"/>
    </xf>
    <xf numFmtId="0" fontId="0" fillId="4" borderId="20" xfId="0" applyFill="1" applyBorder="1" applyAlignment="1">
      <alignment vertical="center" wrapText="1"/>
    </xf>
    <xf numFmtId="0" fontId="0" fillId="4" borderId="19" xfId="0" applyFill="1" applyBorder="1" applyAlignment="1">
      <alignment horizontal="center" vertical="center"/>
    </xf>
    <xf numFmtId="0" fontId="0" fillId="4" borderId="20" xfId="0" applyFill="1" applyBorder="1" applyAlignment="1">
      <alignment horizontal="center" vertical="center"/>
    </xf>
    <xf numFmtId="0" fontId="0" fillId="4" borderId="19" xfId="0" applyFill="1" applyBorder="1" applyAlignment="1">
      <alignment horizontal="center" vertical="center" wrapText="1"/>
    </xf>
    <xf numFmtId="0" fontId="0" fillId="4" borderId="20" xfId="0" applyFill="1" applyBorder="1" applyAlignment="1">
      <alignment horizontal="center" vertical="center" wrapText="1"/>
    </xf>
    <xf numFmtId="0" fontId="0" fillId="0" borderId="12" xfId="0" applyBorder="1" applyAlignment="1" applyProtection="1">
      <alignment horizontal="center" vertical="top" wrapText="1"/>
      <protection locked="0"/>
    </xf>
    <xf numFmtId="0" fontId="0" fillId="0" borderId="13" xfId="0" applyBorder="1" applyAlignment="1" applyProtection="1">
      <alignment horizontal="center" vertical="top" wrapText="1"/>
      <protection locked="0"/>
    </xf>
    <xf numFmtId="0" fontId="0" fillId="0" borderId="12" xfId="0" applyBorder="1" applyAlignment="1" applyProtection="1">
      <alignment horizontal="left" vertical="top" wrapText="1"/>
      <protection locked="0"/>
    </xf>
    <xf numFmtId="0" fontId="0" fillId="0" borderId="13" xfId="0" applyBorder="1" applyAlignment="1" applyProtection="1">
      <alignment horizontal="left" vertical="top" wrapText="1"/>
      <protection locked="0"/>
    </xf>
    <xf numFmtId="0" fontId="0" fillId="0" borderId="7" xfId="0" applyBorder="1" applyAlignment="1">
      <alignment vertical="top" wrapText="1"/>
    </xf>
    <xf numFmtId="0" fontId="0" fillId="0" borderId="8" xfId="0" applyBorder="1" applyAlignment="1">
      <alignment vertical="top" wrapText="1"/>
    </xf>
    <xf numFmtId="0" fontId="0" fillId="0" borderId="4" xfId="0" applyBorder="1" applyAlignment="1">
      <alignment horizontal="left" vertical="top" wrapText="1"/>
    </xf>
    <xf numFmtId="0" fontId="0" fillId="0" borderId="6" xfId="0" applyBorder="1" applyAlignment="1">
      <alignment horizontal="left" vertical="top" wrapText="1"/>
    </xf>
    <xf numFmtId="0" fontId="0" fillId="4" borderId="21" xfId="0" applyFill="1" applyBorder="1" applyAlignment="1">
      <alignment vertical="top" wrapText="1"/>
    </xf>
    <xf numFmtId="0" fontId="0" fillId="4" borderId="22" xfId="0" applyFill="1" applyBorder="1" applyAlignment="1">
      <alignment vertical="top" wrapText="1"/>
    </xf>
    <xf numFmtId="0" fontId="0" fillId="0" borderId="10" xfId="0" applyBorder="1" applyAlignment="1">
      <alignment vertical="top" wrapText="1"/>
    </xf>
    <xf numFmtId="0" fontId="0" fillId="0" borderId="11" xfId="0" applyBorder="1" applyAlignment="1">
      <alignment vertical="top" wrapText="1"/>
    </xf>
    <xf numFmtId="0" fontId="0" fillId="0" borderId="1" xfId="0" applyBorder="1" applyAlignment="1">
      <alignment vertical="top" wrapText="1"/>
    </xf>
    <xf numFmtId="0" fontId="0" fillId="0" borderId="3" xfId="0" applyBorder="1" applyAlignment="1">
      <alignment vertical="top" wrapText="1"/>
    </xf>
    <xf numFmtId="0" fontId="0" fillId="0" borderId="5" xfId="0" applyBorder="1" applyAlignment="1" applyProtection="1">
      <alignment horizontal="center" vertical="top" wrapText="1"/>
      <protection locked="0"/>
    </xf>
    <xf numFmtId="0" fontId="0" fillId="0" borderId="5" xfId="0" applyBorder="1" applyAlignment="1" applyProtection="1">
      <alignment horizontal="left" vertical="top" wrapText="1"/>
      <protection locked="0"/>
    </xf>
    <xf numFmtId="0" fontId="1" fillId="5" borderId="4" xfId="0" applyFont="1" applyFill="1" applyBorder="1" applyAlignment="1">
      <alignment vertical="top" wrapText="1"/>
    </xf>
    <xf numFmtId="0" fontId="1" fillId="5" borderId="6" xfId="0" applyFont="1" applyFill="1" applyBorder="1" applyAlignment="1">
      <alignment vertical="top" wrapText="1"/>
    </xf>
    <xf numFmtId="0" fontId="15" fillId="5" borderId="2" xfId="0" applyFont="1" applyFill="1" applyBorder="1" applyAlignment="1" applyProtection="1">
      <alignment horizontal="center" vertical="center"/>
      <protection locked="0"/>
    </xf>
    <xf numFmtId="0" fontId="15" fillId="5" borderId="30" xfId="0" applyFont="1" applyFill="1" applyBorder="1" applyAlignment="1" applyProtection="1">
      <alignment horizontal="center" vertical="center"/>
      <protection locked="0"/>
    </xf>
    <xf numFmtId="0" fontId="16" fillId="5" borderId="9" xfId="0" applyFont="1" applyFill="1" applyBorder="1" applyAlignment="1">
      <alignment horizontal="left" vertical="center" wrapText="1"/>
    </xf>
    <xf numFmtId="0" fontId="16" fillId="5" borderId="2" xfId="0" applyFont="1" applyFill="1" applyBorder="1" applyAlignment="1">
      <alignment horizontal="left" vertical="center" wrapText="1"/>
    </xf>
    <xf numFmtId="0" fontId="16" fillId="5" borderId="2" xfId="0" applyFont="1" applyFill="1" applyBorder="1" applyAlignment="1">
      <alignment horizontal="center" vertical="center" wrapText="1"/>
    </xf>
    <xf numFmtId="164" fontId="19" fillId="5" borderId="12" xfId="0" applyNumberFormat="1" applyFont="1" applyFill="1" applyBorder="1" applyAlignment="1">
      <alignment horizontal="center" vertical="center"/>
    </xf>
    <xf numFmtId="164" fontId="19" fillId="5" borderId="5" xfId="0" applyNumberFormat="1" applyFont="1" applyFill="1" applyBorder="1" applyAlignment="1">
      <alignment horizontal="center" vertical="center"/>
    </xf>
    <xf numFmtId="0" fontId="15" fillId="5" borderId="18" xfId="0" applyFont="1" applyFill="1" applyBorder="1" applyAlignment="1" applyProtection="1">
      <alignment horizontal="center" vertical="center"/>
      <protection locked="0"/>
    </xf>
    <xf numFmtId="0" fontId="15" fillId="5" borderId="31" xfId="0" applyFont="1" applyFill="1" applyBorder="1" applyAlignment="1" applyProtection="1">
      <alignment horizontal="center" vertical="center"/>
      <protection locked="0"/>
    </xf>
    <xf numFmtId="0" fontId="16" fillId="5" borderId="18" xfId="0" applyFont="1" applyFill="1" applyBorder="1" applyAlignment="1">
      <alignment horizontal="center" vertical="center" wrapText="1"/>
    </xf>
    <xf numFmtId="0" fontId="4" fillId="2" borderId="18"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0" fillId="3" borderId="19" xfId="0" applyFill="1" applyBorder="1" applyAlignment="1">
      <alignment vertical="center" wrapText="1"/>
    </xf>
    <xf numFmtId="0" fontId="0" fillId="3" borderId="20" xfId="0" applyFill="1" applyBorder="1" applyAlignment="1">
      <alignment vertical="center" wrapText="1"/>
    </xf>
    <xf numFmtId="0" fontId="0" fillId="3" borderId="19" xfId="0" applyFill="1" applyBorder="1" applyAlignment="1">
      <alignment horizontal="center" vertical="center"/>
    </xf>
    <xf numFmtId="0" fontId="0" fillId="3" borderId="20" xfId="0" applyFill="1" applyBorder="1" applyAlignment="1">
      <alignment horizontal="center" vertical="center"/>
    </xf>
    <xf numFmtId="0" fontId="0" fillId="3" borderId="19" xfId="0" applyFill="1" applyBorder="1" applyAlignment="1">
      <alignment horizontal="center" vertical="center" wrapText="1"/>
    </xf>
    <xf numFmtId="0" fontId="0" fillId="3" borderId="20" xfId="0" applyFill="1" applyBorder="1" applyAlignment="1">
      <alignment horizontal="center" vertical="center"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1" fillId="3" borderId="4" xfId="0" applyFont="1" applyFill="1" applyBorder="1" applyAlignment="1">
      <alignment vertical="top" wrapText="1"/>
    </xf>
    <xf numFmtId="0" fontId="1" fillId="3" borderId="6" xfId="0" applyFont="1" applyFill="1" applyBorder="1" applyAlignment="1">
      <alignment vertical="top" wrapText="1"/>
    </xf>
    <xf numFmtId="0" fontId="0" fillId="3" borderId="21" xfId="0" applyFill="1" applyBorder="1" applyAlignment="1">
      <alignment vertical="top" wrapText="1"/>
    </xf>
    <xf numFmtId="0" fontId="0" fillId="3" borderId="22" xfId="0" applyFill="1" applyBorder="1" applyAlignment="1">
      <alignment vertical="top" wrapText="1"/>
    </xf>
    <xf numFmtId="0" fontId="11" fillId="9" borderId="46" xfId="0" applyFont="1" applyFill="1" applyBorder="1" applyAlignment="1">
      <alignment horizontal="right" vertical="top" wrapText="1"/>
    </xf>
    <xf numFmtId="1" fontId="0" fillId="9" borderId="35" xfId="0" applyNumberFormat="1" applyFill="1" applyBorder="1" applyAlignment="1">
      <alignment horizontal="center" vertical="top" wrapText="1"/>
    </xf>
    <xf numFmtId="0" fontId="8" fillId="0" borderId="0" xfId="0" applyFont="1" applyAlignment="1">
      <alignment vertical="top"/>
    </xf>
    <xf numFmtId="0" fontId="0" fillId="6" borderId="0" xfId="0" applyFill="1"/>
    <xf numFmtId="0" fontId="10" fillId="6" borderId="0" xfId="0" applyFont="1" applyFill="1" applyAlignment="1">
      <alignment horizontal="left"/>
    </xf>
    <xf numFmtId="0" fontId="0" fillId="6" borderId="0" xfId="0" applyFill="1" applyAlignment="1">
      <alignment horizontal="center"/>
    </xf>
    <xf numFmtId="0" fontId="1" fillId="10" borderId="35" xfId="0" applyFont="1" applyFill="1" applyBorder="1" applyAlignment="1">
      <alignment horizontal="left" vertical="top"/>
    </xf>
    <xf numFmtId="0" fontId="0" fillId="9" borderId="35" xfId="0" applyFill="1" applyBorder="1" applyAlignment="1" applyProtection="1">
      <alignment vertical="top" wrapText="1"/>
      <protection locked="0"/>
    </xf>
    <xf numFmtId="0" fontId="0" fillId="10" borderId="35" xfId="0" applyFill="1" applyBorder="1" applyAlignment="1">
      <alignment vertical="top" wrapText="1"/>
    </xf>
    <xf numFmtId="0" fontId="0" fillId="10" borderId="37" xfId="0" applyFill="1" applyBorder="1" applyAlignment="1">
      <alignment vertical="top" wrapText="1"/>
    </xf>
    <xf numFmtId="0" fontId="11" fillId="9" borderId="47" xfId="0" applyFont="1" applyFill="1" applyBorder="1" applyAlignment="1">
      <alignment horizontal="right" vertical="top" wrapText="1"/>
    </xf>
    <xf numFmtId="164" fontId="0" fillId="9" borderId="40" xfId="0" applyNumberFormat="1" applyFill="1" applyBorder="1" applyAlignment="1">
      <alignment horizontal="center" vertical="top" wrapText="1"/>
    </xf>
    <xf numFmtId="1" fontId="0" fillId="9" borderId="39" xfId="0" applyNumberFormat="1" applyFill="1" applyBorder="1" applyAlignment="1">
      <alignment horizontal="center" vertical="top" wrapText="1"/>
    </xf>
    <xf numFmtId="0" fontId="1" fillId="10" borderId="39" xfId="0" applyFont="1" applyFill="1" applyBorder="1" applyAlignment="1">
      <alignment vertical="top" wrapText="1"/>
    </xf>
    <xf numFmtId="0" fontId="0" fillId="9" borderId="39" xfId="0" applyFill="1" applyBorder="1" applyAlignment="1" applyProtection="1">
      <alignment vertical="top" wrapText="1"/>
      <protection locked="0"/>
    </xf>
    <xf numFmtId="0" fontId="0" fillId="10" borderId="39" xfId="0" applyFill="1" applyBorder="1" applyAlignment="1">
      <alignment vertical="top" wrapText="1"/>
    </xf>
    <xf numFmtId="0" fontId="0" fillId="10" borderId="41" xfId="0" applyFill="1" applyBorder="1" applyAlignment="1">
      <alignment vertical="top" wrapText="1"/>
    </xf>
    <xf numFmtId="0" fontId="11" fillId="9" borderId="50" xfId="0" applyFont="1" applyFill="1" applyBorder="1" applyAlignment="1">
      <alignment horizontal="right" vertical="top" wrapText="1"/>
    </xf>
    <xf numFmtId="164" fontId="0" fillId="9" borderId="27" xfId="0" applyNumberFormat="1" applyFill="1" applyBorder="1" applyAlignment="1">
      <alignment horizontal="center" vertical="top" wrapText="1"/>
    </xf>
    <xf numFmtId="1" fontId="0" fillId="9" borderId="27" xfId="0" applyNumberFormat="1" applyFill="1" applyBorder="1" applyAlignment="1">
      <alignment horizontal="center" vertical="top" wrapText="1"/>
    </xf>
    <xf numFmtId="0" fontId="1" fillId="9" borderId="51" xfId="0" applyFont="1" applyFill="1" applyBorder="1" applyAlignment="1">
      <alignment vertical="top" wrapText="1"/>
    </xf>
    <xf numFmtId="0" fontId="0" fillId="9" borderId="51" xfId="0" applyFill="1" applyBorder="1" applyAlignment="1" applyProtection="1">
      <alignment horizontal="center" vertical="top" wrapText="1"/>
      <protection locked="0"/>
    </xf>
    <xf numFmtId="0" fontId="0" fillId="9" borderId="32" xfId="0" applyFill="1" applyBorder="1" applyAlignment="1">
      <alignment vertical="top" wrapText="1"/>
    </xf>
    <xf numFmtId="0" fontId="0" fillId="9" borderId="29" xfId="0" applyFill="1" applyBorder="1" applyAlignment="1" applyProtection="1">
      <alignment horizontal="center" vertical="top" wrapText="1"/>
      <protection locked="0"/>
    </xf>
    <xf numFmtId="0" fontId="0" fillId="9" borderId="32" xfId="0" applyFill="1" applyBorder="1" applyAlignment="1" applyProtection="1">
      <alignment horizontal="center" vertical="top" wrapText="1"/>
      <protection locked="0"/>
    </xf>
    <xf numFmtId="0" fontId="0" fillId="9" borderId="52" xfId="0" applyFill="1" applyBorder="1" applyAlignment="1">
      <alignment vertical="top" wrapText="1"/>
    </xf>
  </cellXfs>
  <cellStyles count="2">
    <cellStyle name="Hyperlink" xfId="1" builtinId="8"/>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C9DF7-AF56-46C4-A0AF-FA6964E028E9}">
  <dimension ref="A1:L33"/>
  <sheetViews>
    <sheetView zoomScaleNormal="100" workbookViewId="0">
      <selection activeCell="B1" sqref="B1"/>
    </sheetView>
  </sheetViews>
  <sheetFormatPr defaultColWidth="9.1796875" defaultRowHeight="14.5" x14ac:dyDescent="0.35"/>
  <cols>
    <col min="1" max="1" width="3.1796875" style="6" customWidth="1"/>
    <col min="2" max="2" width="9.1796875" style="6"/>
    <col min="3" max="3" width="48" style="6" customWidth="1"/>
    <col min="4" max="4" width="5.1796875" style="44" customWidth="1"/>
    <col min="5" max="5" width="5.1796875" style="6" customWidth="1"/>
    <col min="6" max="6" width="35" style="6" customWidth="1"/>
    <col min="7" max="7" width="5.1796875" style="6" customWidth="1"/>
    <col min="8" max="8" width="35" style="6" customWidth="1"/>
    <col min="9" max="9" width="5.1796875" style="6" customWidth="1"/>
    <col min="10" max="10" width="35" style="6" customWidth="1"/>
    <col min="11" max="11" width="5.1796875" style="6" customWidth="1"/>
    <col min="12" max="12" width="35" style="6" customWidth="1"/>
    <col min="13" max="16384" width="9.1796875" style="6"/>
  </cols>
  <sheetData>
    <row r="1" spans="1:12" s="28" customFormat="1" ht="15.5" x14ac:dyDescent="0.35">
      <c r="B1" s="28" t="s">
        <v>34</v>
      </c>
      <c r="C1" s="28" t="s">
        <v>27</v>
      </c>
      <c r="D1" s="43"/>
    </row>
    <row r="2" spans="1:12" x14ac:dyDescent="0.35">
      <c r="B2" s="6" t="s">
        <v>28</v>
      </c>
      <c r="C2" s="6" t="s">
        <v>29</v>
      </c>
    </row>
    <row r="7" spans="1:12" x14ac:dyDescent="0.35">
      <c r="D7" s="141" t="s">
        <v>20</v>
      </c>
      <c r="E7" s="142"/>
      <c r="F7" s="142"/>
      <c r="G7" s="142"/>
      <c r="H7" s="143"/>
    </row>
    <row r="8" spans="1:12" ht="15" thickBot="1" x14ac:dyDescent="0.4">
      <c r="D8" s="144" t="s">
        <v>21</v>
      </c>
      <c r="E8" s="145"/>
      <c r="F8" s="145"/>
      <c r="G8" s="145"/>
      <c r="H8" s="146"/>
    </row>
    <row r="9" spans="1:12" s="2" customFormat="1" ht="24" customHeight="1" x14ac:dyDescent="0.35">
      <c r="B9" s="33" t="s">
        <v>2</v>
      </c>
      <c r="C9" s="34"/>
      <c r="D9" s="45"/>
      <c r="E9" s="35"/>
      <c r="F9" s="36"/>
      <c r="G9" s="36"/>
      <c r="H9" s="36"/>
      <c r="I9" s="36"/>
      <c r="J9" s="36"/>
      <c r="K9" s="36"/>
      <c r="L9" s="37" t="str">
        <f>L30 &amp; " punten"</f>
        <v>0 punten</v>
      </c>
    </row>
    <row r="10" spans="1:12" s="2" customFormat="1" ht="24" customHeight="1" thickBot="1" x14ac:dyDescent="0.4">
      <c r="B10" s="38" t="s">
        <v>3</v>
      </c>
      <c r="C10" s="39"/>
      <c r="D10" s="46"/>
      <c r="E10" s="40"/>
      <c r="F10" s="41"/>
      <c r="G10" s="41"/>
      <c r="H10" s="41"/>
      <c r="I10" s="147"/>
      <c r="J10" s="147"/>
      <c r="K10" s="148"/>
      <c r="L10" s="42" t="str">
        <f>IF(L30&gt;=H30,"Voldoende","Onvoldoende")</f>
        <v>Onvoldoende</v>
      </c>
    </row>
    <row r="11" spans="1:12" s="2" customFormat="1" ht="19.5" customHeight="1" x14ac:dyDescent="0.35">
      <c r="B11" s="149" t="s">
        <v>4</v>
      </c>
      <c r="C11" s="150"/>
      <c r="D11" s="47"/>
      <c r="E11" s="151" t="s">
        <v>5</v>
      </c>
      <c r="F11" s="152"/>
      <c r="G11" s="153" t="s">
        <v>6</v>
      </c>
      <c r="H11" s="154"/>
      <c r="I11" s="153" t="s">
        <v>7</v>
      </c>
      <c r="J11" s="154"/>
      <c r="K11" s="153" t="s">
        <v>8</v>
      </c>
      <c r="L11" s="154"/>
    </row>
    <row r="12" spans="1:12" ht="15" thickBot="1" x14ac:dyDescent="0.4">
      <c r="B12" s="163" t="s">
        <v>9</v>
      </c>
      <c r="C12" s="164"/>
      <c r="D12" s="31" t="s">
        <v>19</v>
      </c>
      <c r="E12" s="31">
        <v>3</v>
      </c>
      <c r="F12" s="31"/>
      <c r="G12" s="31">
        <v>2</v>
      </c>
      <c r="H12" s="31"/>
      <c r="I12" s="31">
        <v>1</v>
      </c>
      <c r="J12" s="31"/>
      <c r="K12" s="31">
        <v>0</v>
      </c>
      <c r="L12" s="31"/>
    </row>
    <row r="13" spans="1:12" ht="15" thickBot="1" x14ac:dyDescent="0.4">
      <c r="A13" s="15">
        <v>1</v>
      </c>
      <c r="B13" s="165" t="s">
        <v>0</v>
      </c>
      <c r="C13" s="166"/>
      <c r="D13" s="64"/>
      <c r="E13" s="65"/>
      <c r="F13" s="66"/>
      <c r="G13" s="65"/>
      <c r="H13" s="66"/>
      <c r="I13" s="65"/>
      <c r="J13" s="66"/>
      <c r="K13" s="65"/>
      <c r="L13" s="66"/>
    </row>
    <row r="14" spans="1:12" x14ac:dyDescent="0.35">
      <c r="A14" s="13"/>
      <c r="B14" s="167"/>
      <c r="C14" s="168"/>
      <c r="D14" s="49"/>
      <c r="E14" s="155"/>
      <c r="F14" s="157"/>
      <c r="G14" s="155"/>
      <c r="H14" s="157"/>
      <c r="I14" s="155"/>
      <c r="J14" s="157"/>
      <c r="K14" s="155"/>
      <c r="L14" s="157"/>
    </row>
    <row r="15" spans="1:12" ht="15" customHeight="1" x14ac:dyDescent="0.35">
      <c r="A15" s="14"/>
      <c r="B15" s="159"/>
      <c r="C15" s="160"/>
      <c r="D15" s="50"/>
      <c r="E15" s="156"/>
      <c r="F15" s="158"/>
      <c r="G15" s="156"/>
      <c r="H15" s="158"/>
      <c r="I15" s="156"/>
      <c r="J15" s="158"/>
      <c r="K15" s="156"/>
      <c r="L15" s="158"/>
    </row>
    <row r="16" spans="1:12" ht="15" thickBot="1" x14ac:dyDescent="0.4">
      <c r="A16" s="14"/>
      <c r="B16" s="161"/>
      <c r="C16" s="162"/>
      <c r="D16" s="50"/>
      <c r="E16" s="156"/>
      <c r="F16" s="158"/>
      <c r="G16" s="156"/>
      <c r="H16" s="158"/>
      <c r="I16" s="156"/>
      <c r="J16" s="158"/>
      <c r="K16" s="156"/>
      <c r="L16" s="158"/>
    </row>
    <row r="17" spans="1:12" x14ac:dyDescent="0.35">
      <c r="A17" s="13"/>
      <c r="B17" s="167"/>
      <c r="C17" s="168"/>
      <c r="D17" s="49"/>
      <c r="E17" s="155"/>
      <c r="F17" s="157"/>
      <c r="G17" s="155"/>
      <c r="H17" s="157"/>
      <c r="I17" s="155"/>
      <c r="J17" s="157"/>
      <c r="K17" s="155"/>
      <c r="L17" s="157"/>
    </row>
    <row r="18" spans="1:12" x14ac:dyDescent="0.35">
      <c r="A18" s="14"/>
      <c r="B18" s="159"/>
      <c r="C18" s="160"/>
      <c r="D18" s="50"/>
      <c r="E18" s="156"/>
      <c r="F18" s="158"/>
      <c r="G18" s="156"/>
      <c r="H18" s="158"/>
      <c r="I18" s="156"/>
      <c r="J18" s="158"/>
      <c r="K18" s="156"/>
      <c r="L18" s="158"/>
    </row>
    <row r="19" spans="1:12" ht="15" thickBot="1" x14ac:dyDescent="0.4">
      <c r="A19" s="14"/>
      <c r="B19" s="161"/>
      <c r="C19" s="162"/>
      <c r="D19" s="50"/>
      <c r="E19" s="156"/>
      <c r="F19" s="158"/>
      <c r="G19" s="156"/>
      <c r="H19" s="158"/>
      <c r="I19" s="156"/>
      <c r="J19" s="158"/>
      <c r="K19" s="156"/>
      <c r="L19" s="158"/>
    </row>
    <row r="20" spans="1:12" x14ac:dyDescent="0.35">
      <c r="A20" s="13"/>
      <c r="B20" s="167"/>
      <c r="C20" s="168"/>
      <c r="D20" s="49"/>
      <c r="E20" s="155"/>
      <c r="F20" s="157"/>
      <c r="G20" s="155"/>
      <c r="H20" s="157"/>
      <c r="I20" s="155"/>
      <c r="J20" s="157"/>
      <c r="K20" s="155"/>
      <c r="L20" s="157"/>
    </row>
    <row r="21" spans="1:12" x14ac:dyDescent="0.35">
      <c r="A21" s="14"/>
      <c r="B21" s="159"/>
      <c r="C21" s="160"/>
      <c r="D21" s="50"/>
      <c r="E21" s="156"/>
      <c r="F21" s="158"/>
      <c r="G21" s="156"/>
      <c r="H21" s="158"/>
      <c r="I21" s="156"/>
      <c r="J21" s="158"/>
      <c r="K21" s="156"/>
      <c r="L21" s="158"/>
    </row>
    <row r="22" spans="1:12" ht="15" thickBot="1" x14ac:dyDescent="0.4">
      <c r="A22" s="14"/>
      <c r="B22" s="161"/>
      <c r="C22" s="162"/>
      <c r="D22" s="50"/>
      <c r="E22" s="169"/>
      <c r="F22" s="170"/>
      <c r="G22" s="169"/>
      <c r="H22" s="170"/>
      <c r="I22" s="169"/>
      <c r="J22" s="170"/>
      <c r="K22" s="169"/>
      <c r="L22" s="170"/>
    </row>
    <row r="23" spans="1:12" ht="15" customHeight="1" x14ac:dyDescent="0.35">
      <c r="A23" s="13"/>
      <c r="B23" s="167"/>
      <c r="C23" s="168"/>
      <c r="D23" s="49"/>
      <c r="E23" s="155"/>
      <c r="F23" s="157"/>
      <c r="G23" s="155"/>
      <c r="H23" s="157"/>
      <c r="I23" s="155"/>
      <c r="J23" s="157"/>
      <c r="K23" s="155"/>
      <c r="L23" s="157"/>
    </row>
    <row r="24" spans="1:12" ht="15.75" customHeight="1" x14ac:dyDescent="0.35">
      <c r="A24" s="14"/>
      <c r="B24" s="159"/>
      <c r="C24" s="160"/>
      <c r="D24" s="50"/>
      <c r="E24" s="156"/>
      <c r="F24" s="158"/>
      <c r="G24" s="156"/>
      <c r="H24" s="158"/>
      <c r="I24" s="156"/>
      <c r="J24" s="158"/>
      <c r="K24" s="156"/>
      <c r="L24" s="158"/>
    </row>
    <row r="25" spans="1:12" ht="15" thickBot="1" x14ac:dyDescent="0.4">
      <c r="A25" s="14"/>
      <c r="B25" s="68"/>
      <c r="C25" s="69"/>
      <c r="D25" s="50"/>
      <c r="E25" s="169"/>
      <c r="F25" s="170"/>
      <c r="G25" s="169"/>
      <c r="H25" s="170"/>
      <c r="I25" s="169"/>
      <c r="J25" s="170"/>
      <c r="K25" s="169"/>
      <c r="L25" s="170"/>
    </row>
    <row r="26" spans="1:12" ht="15" customHeight="1" x14ac:dyDescent="0.35">
      <c r="A26" s="13"/>
      <c r="B26" s="167"/>
      <c r="C26" s="168"/>
      <c r="D26" s="49"/>
      <c r="E26" s="155"/>
      <c r="F26" s="157"/>
      <c r="G26" s="155"/>
      <c r="H26" s="157"/>
      <c r="I26" s="155"/>
      <c r="J26" s="157"/>
      <c r="K26" s="155"/>
      <c r="L26" s="157"/>
    </row>
    <row r="27" spans="1:12" ht="15.75" customHeight="1" x14ac:dyDescent="0.35">
      <c r="A27" s="14"/>
      <c r="B27" s="159"/>
      <c r="C27" s="160"/>
      <c r="D27" s="50"/>
      <c r="E27" s="156"/>
      <c r="F27" s="158"/>
      <c r="G27" s="156"/>
      <c r="H27" s="158"/>
      <c r="I27" s="156"/>
      <c r="J27" s="158"/>
      <c r="K27" s="156"/>
      <c r="L27" s="158"/>
    </row>
    <row r="28" spans="1:12" ht="15" thickBot="1" x14ac:dyDescent="0.4">
      <c r="A28" s="67"/>
      <c r="B28" s="161"/>
      <c r="C28" s="162"/>
      <c r="D28" s="48"/>
      <c r="E28" s="169"/>
      <c r="F28" s="170"/>
      <c r="G28" s="169"/>
      <c r="H28" s="170"/>
      <c r="I28" s="169"/>
      <c r="J28" s="170"/>
      <c r="K28" s="169"/>
      <c r="L28" s="170"/>
    </row>
    <row r="29" spans="1:12" ht="15" thickBot="1" x14ac:dyDescent="0.4">
      <c r="B29" s="171" t="str">
        <f>"Opdracht gehaald als min. "&amp;H30&amp;"  punten zijn behaald"</f>
        <v>Opdracht gehaald als min. 2  punten zijn behaald</v>
      </c>
      <c r="C29" s="172"/>
      <c r="D29" s="51"/>
      <c r="E29" s="32">
        <f>COUNTIF(E13:E28,"x")*E$12</f>
        <v>0</v>
      </c>
      <c r="F29" s="32"/>
      <c r="G29" s="32">
        <f>COUNTIF(G13:G28,"x")*G$12</f>
        <v>0</v>
      </c>
      <c r="H29" s="32"/>
      <c r="I29" s="32">
        <f>COUNTIF(I13:I28,"x")*I$12</f>
        <v>0</v>
      </c>
      <c r="J29" s="32"/>
      <c r="K29" s="32">
        <f>COUNTIF(K13:K28,"x")*K$12</f>
        <v>0</v>
      </c>
      <c r="L29" s="32"/>
    </row>
    <row r="30" spans="1:12" x14ac:dyDescent="0.35">
      <c r="H30" s="19">
        <f>COUNTA(A13:A28)*2</f>
        <v>2</v>
      </c>
      <c r="L30" s="19">
        <f>SUM(E29,G29,I29,K29)</f>
        <v>0</v>
      </c>
    </row>
    <row r="32" spans="1:12" x14ac:dyDescent="0.35">
      <c r="B32" s="7"/>
    </row>
    <row r="33" spans="2:2" x14ac:dyDescent="0.35">
      <c r="B33" s="7"/>
    </row>
  </sheetData>
  <sheetProtection selectLockedCells="1"/>
  <mergeCells count="65">
    <mergeCell ref="J26:J28"/>
    <mergeCell ref="K26:K28"/>
    <mergeCell ref="L26:L28"/>
    <mergeCell ref="B27:C27"/>
    <mergeCell ref="B28:C28"/>
    <mergeCell ref="B29:C29"/>
    <mergeCell ref="J23:J25"/>
    <mergeCell ref="K23:K25"/>
    <mergeCell ref="L23:L25"/>
    <mergeCell ref="B24:C24"/>
    <mergeCell ref="B26:C26"/>
    <mergeCell ref="E26:E28"/>
    <mergeCell ref="F26:F28"/>
    <mergeCell ref="G26:G28"/>
    <mergeCell ref="H26:H28"/>
    <mergeCell ref="I26:I28"/>
    <mergeCell ref="B23:C23"/>
    <mergeCell ref="E23:E25"/>
    <mergeCell ref="F23:F25"/>
    <mergeCell ref="G23:G25"/>
    <mergeCell ref="H23:H25"/>
    <mergeCell ref="I23:I25"/>
    <mergeCell ref="I20:I22"/>
    <mergeCell ref="J20:J22"/>
    <mergeCell ref="K20:K22"/>
    <mergeCell ref="L20:L22"/>
    <mergeCell ref="B21:C21"/>
    <mergeCell ref="B22:C22"/>
    <mergeCell ref="J17:J19"/>
    <mergeCell ref="K17:K19"/>
    <mergeCell ref="L17:L19"/>
    <mergeCell ref="B18:C18"/>
    <mergeCell ref="B19:C19"/>
    <mergeCell ref="B20:C20"/>
    <mergeCell ref="E20:E22"/>
    <mergeCell ref="F20:F22"/>
    <mergeCell ref="G20:G22"/>
    <mergeCell ref="H20:H22"/>
    <mergeCell ref="B17:C17"/>
    <mergeCell ref="E17:E19"/>
    <mergeCell ref="F17:F19"/>
    <mergeCell ref="G17:G19"/>
    <mergeCell ref="H17:H19"/>
    <mergeCell ref="I17:I19"/>
    <mergeCell ref="H14:H16"/>
    <mergeCell ref="I14:I16"/>
    <mergeCell ref="J14:J16"/>
    <mergeCell ref="K14:K16"/>
    <mergeCell ref="L14:L16"/>
    <mergeCell ref="B15:C15"/>
    <mergeCell ref="B16:C16"/>
    <mergeCell ref="B12:C12"/>
    <mergeCell ref="B13:C13"/>
    <mergeCell ref="B14:C14"/>
    <mergeCell ref="E14:E16"/>
    <mergeCell ref="F14:F16"/>
    <mergeCell ref="G14:G16"/>
    <mergeCell ref="D7:H7"/>
    <mergeCell ref="D8:H8"/>
    <mergeCell ref="I10:K10"/>
    <mergeCell ref="B11:C11"/>
    <mergeCell ref="E11:F11"/>
    <mergeCell ref="G11:H11"/>
    <mergeCell ref="I11:J11"/>
    <mergeCell ref="K11:L1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58984-6995-4872-902B-7575A987AF2F}">
  <sheetPr>
    <pageSetUpPr fitToPage="1"/>
  </sheetPr>
  <dimension ref="A1:X17"/>
  <sheetViews>
    <sheetView tabSelected="1" topLeftCell="A9" zoomScale="70" zoomScaleNormal="70" workbookViewId="0">
      <selection activeCell="E10" sqref="E10"/>
    </sheetView>
  </sheetViews>
  <sheetFormatPr defaultRowHeight="14.5" x14ac:dyDescent="0.35"/>
  <cols>
    <col min="1" max="1" width="4.1796875" customWidth="1"/>
    <col min="2" max="2" width="19.81640625" customWidth="1"/>
    <col min="3" max="4" width="6.81640625" customWidth="1"/>
    <col min="5" max="5" width="37" customWidth="1"/>
    <col min="6" max="6" width="3.81640625" style="54" customWidth="1"/>
    <col min="7" max="7" width="25.453125" customWidth="1"/>
    <col min="8" max="8" width="3.81640625" style="54" customWidth="1"/>
    <col min="9" max="9" width="25.453125" customWidth="1"/>
    <col min="10" max="10" width="3.81640625" style="54" customWidth="1"/>
    <col min="11" max="11" width="25.453125" customWidth="1"/>
    <col min="12" max="12" width="3.81640625" customWidth="1"/>
    <col min="13" max="13" width="25.453125" customWidth="1"/>
    <col min="14" max="16" width="9.1796875" style="79" customWidth="1"/>
    <col min="17" max="22" width="9.1796875" style="79"/>
    <col min="23" max="24" width="9.1796875" style="114"/>
  </cols>
  <sheetData>
    <row r="1" spans="1:24" s="28" customFormat="1" ht="21" x14ac:dyDescent="0.35">
      <c r="B1" s="199" t="s">
        <v>86</v>
      </c>
      <c r="F1" s="43"/>
      <c r="G1" s="43"/>
      <c r="H1" s="43"/>
      <c r="J1" s="43"/>
      <c r="L1" s="78"/>
      <c r="M1" s="78"/>
      <c r="N1" s="78"/>
      <c r="O1" s="78"/>
      <c r="P1" s="78"/>
      <c r="Q1" s="78"/>
      <c r="R1" s="78"/>
      <c r="S1" s="78"/>
      <c r="T1" s="78"/>
      <c r="U1" s="78"/>
      <c r="V1" s="78"/>
      <c r="W1" s="113"/>
      <c r="X1" s="113"/>
    </row>
    <row r="2" spans="1:24" ht="23.25" customHeight="1" x14ac:dyDescent="0.6">
      <c r="B2" s="201" t="s">
        <v>35</v>
      </c>
      <c r="C2" s="200"/>
      <c r="D2" s="200"/>
      <c r="E2" s="200"/>
      <c r="F2" s="202"/>
      <c r="G2" s="200"/>
      <c r="H2" s="202"/>
      <c r="I2" s="200"/>
      <c r="L2" s="79"/>
      <c r="M2" s="79"/>
    </row>
    <row r="3" spans="1:24" ht="19" thickBot="1" x14ac:dyDescent="0.4">
      <c r="B3" s="80"/>
      <c r="C3" s="81"/>
      <c r="D3" s="82"/>
      <c r="E3" s="141" t="s">
        <v>20</v>
      </c>
      <c r="F3" s="142"/>
      <c r="G3" s="142"/>
      <c r="H3" s="142"/>
      <c r="I3" s="142"/>
      <c r="J3" s="142"/>
      <c r="K3" s="143"/>
      <c r="L3" s="82"/>
      <c r="M3" s="43" t="s">
        <v>32</v>
      </c>
    </row>
    <row r="4" spans="1:24" s="119" customFormat="1" ht="27.75" customHeight="1" x14ac:dyDescent="0.45">
      <c r="B4" s="115" t="s">
        <v>2</v>
      </c>
      <c r="C4" s="173"/>
      <c r="D4" s="173"/>
      <c r="E4" s="174"/>
      <c r="F4" s="175"/>
      <c r="G4" s="176"/>
      <c r="H4" s="177"/>
      <c r="I4" s="177"/>
      <c r="J4" s="177"/>
      <c r="K4" s="177"/>
      <c r="L4" s="116"/>
      <c r="M4" s="178">
        <f>IFERROR((SUM(C7:C15)/(SUM(D7:D15)*$F$6))*9+1,"-")</f>
        <v>10</v>
      </c>
      <c r="N4" s="117"/>
      <c r="O4" s="117"/>
      <c r="P4" s="117"/>
      <c r="Q4" s="117"/>
      <c r="R4" s="117"/>
      <c r="S4" s="117"/>
      <c r="T4" s="117"/>
      <c r="U4" s="117"/>
      <c r="V4" s="117"/>
      <c r="W4" s="118"/>
      <c r="X4" s="118"/>
    </row>
    <row r="5" spans="1:24" s="119" customFormat="1" ht="27.75" customHeight="1" thickBot="1" x14ac:dyDescent="0.5">
      <c r="B5" s="120"/>
      <c r="C5" s="180"/>
      <c r="D5" s="180"/>
      <c r="E5" s="181"/>
      <c r="F5" s="121"/>
      <c r="G5" s="122"/>
      <c r="H5" s="122"/>
      <c r="I5" s="122"/>
      <c r="J5" s="182"/>
      <c r="K5" s="182"/>
      <c r="L5" s="182"/>
      <c r="M5" s="179"/>
      <c r="N5" s="117"/>
      <c r="O5" s="117"/>
      <c r="P5" s="117"/>
      <c r="Q5" s="117"/>
      <c r="R5" s="117"/>
      <c r="S5" s="117"/>
      <c r="T5" s="117"/>
      <c r="U5" s="117"/>
      <c r="V5" s="117"/>
      <c r="W5" s="118"/>
      <c r="X5" s="118"/>
    </row>
    <row r="6" spans="1:24" ht="19" thickBot="1" x14ac:dyDescent="0.4">
      <c r="B6" s="83" t="s">
        <v>31</v>
      </c>
      <c r="C6" s="84" t="s">
        <v>24</v>
      </c>
      <c r="D6" s="85" t="s">
        <v>33</v>
      </c>
      <c r="E6" s="86" t="s">
        <v>30</v>
      </c>
      <c r="F6" s="87">
        <v>3</v>
      </c>
      <c r="G6" s="88">
        <f>3/3</f>
        <v>1</v>
      </c>
      <c r="H6" s="89">
        <v>2</v>
      </c>
      <c r="I6" s="88">
        <v>0.75</v>
      </c>
      <c r="J6" s="87">
        <v>1</v>
      </c>
      <c r="K6" s="88">
        <v>0.4</v>
      </c>
      <c r="L6" s="87">
        <v>0</v>
      </c>
      <c r="M6" s="88">
        <v>0</v>
      </c>
    </row>
    <row r="7" spans="1:24" ht="37.5" thickBot="1" x14ac:dyDescent="0.4">
      <c r="A7">
        <v>1</v>
      </c>
      <c r="B7" s="101" t="s">
        <v>0</v>
      </c>
      <c r="C7" s="102">
        <f>N7</f>
        <v>3</v>
      </c>
      <c r="D7" s="103">
        <v>1</v>
      </c>
      <c r="E7" s="104" t="s">
        <v>37</v>
      </c>
      <c r="F7" s="74" t="s">
        <v>55</v>
      </c>
      <c r="G7" s="105" t="s">
        <v>38</v>
      </c>
      <c r="H7" s="75"/>
      <c r="I7" s="105" t="s">
        <v>79</v>
      </c>
      <c r="J7" s="74"/>
      <c r="K7" s="105" t="s">
        <v>80</v>
      </c>
      <c r="L7" s="74"/>
      <c r="M7" s="106" t="s">
        <v>81</v>
      </c>
      <c r="N7" s="79">
        <f>IFERROR(D7*AVERAGE(O7:R7),"")</f>
        <v>3</v>
      </c>
      <c r="O7" s="79">
        <f t="shared" ref="O7" si="0">IF(F7&lt;&gt;"",F$6,"")</f>
        <v>3</v>
      </c>
      <c r="P7" s="79" t="str">
        <f t="shared" ref="P7" si="1">IF(H7&lt;&gt;"",H$6,"")</f>
        <v/>
      </c>
      <c r="Q7" s="79" t="str">
        <f t="shared" ref="Q7" si="2">IF(J7&lt;&gt;"",J$6,"")</f>
        <v/>
      </c>
      <c r="R7" s="79" t="str">
        <f t="shared" ref="R7" si="3">IF(L7&lt;&gt;"",L$6,"")</f>
        <v/>
      </c>
    </row>
    <row r="8" spans="1:24" ht="58" x14ac:dyDescent="0.35">
      <c r="A8">
        <v>2</v>
      </c>
      <c r="B8" s="90" t="s">
        <v>39</v>
      </c>
      <c r="C8" s="91">
        <f>N8</f>
        <v>3</v>
      </c>
      <c r="D8" s="92">
        <v>1</v>
      </c>
      <c r="E8" s="93" t="s">
        <v>77</v>
      </c>
      <c r="F8" s="70" t="s">
        <v>55</v>
      </c>
      <c r="G8" s="94" t="s">
        <v>40</v>
      </c>
      <c r="H8" s="71"/>
      <c r="I8" s="94" t="s">
        <v>41</v>
      </c>
      <c r="J8" s="70"/>
      <c r="K8" s="94" t="s">
        <v>76</v>
      </c>
      <c r="L8" s="70"/>
      <c r="M8" s="95" t="s">
        <v>82</v>
      </c>
      <c r="N8" s="79">
        <f>IFERROR(D8*AVERAGE(O8:R8),"")</f>
        <v>3</v>
      </c>
      <c r="O8" s="79">
        <f t="shared" ref="O8:O16" si="4">IF(F8&lt;&gt;"",F$6,"")</f>
        <v>3</v>
      </c>
      <c r="P8" s="79" t="str">
        <f t="shared" ref="P8:P16" si="5">IF(H8&lt;&gt;"",H$6,"")</f>
        <v/>
      </c>
      <c r="Q8" s="79" t="str">
        <f t="shared" ref="Q8:Q16" si="6">IF(J8&lt;&gt;"",J$6,"")</f>
        <v/>
      </c>
      <c r="R8" s="79" t="str">
        <f t="shared" ref="R8:R16" si="7">IF(L8&lt;&gt;"",L$6,"")</f>
        <v/>
      </c>
    </row>
    <row r="9" spans="1:24" ht="44" thickBot="1" x14ac:dyDescent="0.4">
      <c r="A9">
        <v>3</v>
      </c>
      <c r="B9" s="96"/>
      <c r="C9" s="97">
        <f t="shared" ref="C9:C12" si="8">N9</f>
        <v>3</v>
      </c>
      <c r="D9" s="98">
        <v>1</v>
      </c>
      <c r="E9" s="99" t="s">
        <v>78</v>
      </c>
      <c r="F9" s="72" t="s">
        <v>55</v>
      </c>
      <c r="G9" s="100" t="s">
        <v>83</v>
      </c>
      <c r="H9" s="73"/>
      <c r="I9" s="100" t="s">
        <v>42</v>
      </c>
      <c r="J9" s="72"/>
      <c r="K9" s="100" t="s">
        <v>43</v>
      </c>
      <c r="L9" s="72"/>
      <c r="M9" s="112" t="s">
        <v>82</v>
      </c>
      <c r="N9" s="79">
        <f t="shared" ref="N9:N16" si="9">IFERROR(D9*AVERAGE(O9:R9),"")</f>
        <v>3</v>
      </c>
      <c r="O9" s="79">
        <f t="shared" si="4"/>
        <v>3</v>
      </c>
      <c r="P9" s="79" t="str">
        <f t="shared" si="5"/>
        <v/>
      </c>
      <c r="Q9" s="79" t="str">
        <f t="shared" si="6"/>
        <v/>
      </c>
      <c r="R9" s="79" t="str">
        <f t="shared" si="7"/>
        <v/>
      </c>
    </row>
    <row r="10" spans="1:24" ht="131" thickBot="1" x14ac:dyDescent="0.4">
      <c r="A10">
        <v>5</v>
      </c>
      <c r="B10" s="140" t="s">
        <v>44</v>
      </c>
      <c r="C10" s="107">
        <f t="shared" si="8"/>
        <v>3</v>
      </c>
      <c r="D10" s="108">
        <v>1</v>
      </c>
      <c r="E10" s="109" t="s">
        <v>71</v>
      </c>
      <c r="F10" s="76" t="s">
        <v>55</v>
      </c>
      <c r="G10" s="110" t="s">
        <v>74</v>
      </c>
      <c r="H10" s="77"/>
      <c r="I10" s="110" t="s">
        <v>73</v>
      </c>
      <c r="J10" s="76"/>
      <c r="K10" s="110" t="s">
        <v>72</v>
      </c>
      <c r="L10" s="76"/>
      <c r="M10" s="111" t="s">
        <v>75</v>
      </c>
      <c r="N10" s="79">
        <f t="shared" si="9"/>
        <v>3</v>
      </c>
      <c r="O10" s="79">
        <f t="shared" si="4"/>
        <v>3</v>
      </c>
      <c r="P10" s="79" t="str">
        <f t="shared" si="5"/>
        <v/>
      </c>
      <c r="Q10" s="79" t="str">
        <f t="shared" si="6"/>
        <v/>
      </c>
      <c r="R10" s="79" t="str">
        <f t="shared" si="7"/>
        <v/>
      </c>
    </row>
    <row r="11" spans="1:24" ht="37.5" thickBot="1" x14ac:dyDescent="0.4">
      <c r="B11" s="132" t="s">
        <v>36</v>
      </c>
      <c r="C11" s="124">
        <f>N11</f>
        <v>6</v>
      </c>
      <c r="D11" s="125">
        <v>2</v>
      </c>
      <c r="E11" s="126" t="s">
        <v>45</v>
      </c>
      <c r="F11" s="127" t="s">
        <v>55</v>
      </c>
      <c r="G11" s="128" t="s">
        <v>46</v>
      </c>
      <c r="H11" s="129"/>
      <c r="I11" s="128" t="s">
        <v>47</v>
      </c>
      <c r="J11" s="127"/>
      <c r="K11" s="128" t="s">
        <v>48</v>
      </c>
      <c r="L11" s="127"/>
      <c r="M11" s="130" t="s">
        <v>49</v>
      </c>
      <c r="N11" s="79">
        <f t="shared" si="9"/>
        <v>6</v>
      </c>
      <c r="O11" s="79">
        <f t="shared" si="4"/>
        <v>3</v>
      </c>
      <c r="P11" s="79" t="str">
        <f t="shared" si="5"/>
        <v/>
      </c>
      <c r="Q11" s="79" t="str">
        <f t="shared" si="6"/>
        <v/>
      </c>
      <c r="R11" s="79" t="str">
        <f t="shared" si="7"/>
        <v/>
      </c>
    </row>
    <row r="12" spans="1:24" ht="87" x14ac:dyDescent="0.35">
      <c r="A12">
        <v>6</v>
      </c>
      <c r="B12" s="197" t="s">
        <v>52</v>
      </c>
      <c r="C12" s="131">
        <f t="shared" si="8"/>
        <v>6</v>
      </c>
      <c r="D12" s="198">
        <v>2</v>
      </c>
      <c r="E12" s="203" t="s">
        <v>70</v>
      </c>
      <c r="F12" s="204" t="s">
        <v>55</v>
      </c>
      <c r="G12" s="205" t="s">
        <v>61</v>
      </c>
      <c r="H12" s="204"/>
      <c r="I12" s="205" t="s">
        <v>62</v>
      </c>
      <c r="J12" s="204"/>
      <c r="K12" s="205" t="s">
        <v>63</v>
      </c>
      <c r="L12" s="204"/>
      <c r="M12" s="206" t="s">
        <v>64</v>
      </c>
      <c r="N12" s="79">
        <f t="shared" ref="N12:N13" si="10">IFERROR(D12*AVERAGE(O12:R12),"")</f>
        <v>6</v>
      </c>
      <c r="O12" s="79">
        <f t="shared" ref="O12:O13" si="11">IF(F12&lt;&gt;"",F$6,"")</f>
        <v>3</v>
      </c>
      <c r="P12" s="79" t="str">
        <f t="shared" ref="P12:P13" si="12">IF(H12&lt;&gt;"",H$6,"")</f>
        <v/>
      </c>
      <c r="Q12" s="79" t="str">
        <f t="shared" ref="Q12:Q13" si="13">IF(J12&lt;&gt;"",J$6,"")</f>
        <v/>
      </c>
      <c r="R12" s="79" t="str">
        <f t="shared" ref="R12:R13" si="14">IF(L12&lt;&gt;"",L$6,"")</f>
        <v/>
      </c>
    </row>
    <row r="13" spans="1:24" ht="75" customHeight="1" x14ac:dyDescent="0.35">
      <c r="B13" s="207"/>
      <c r="C13" s="208">
        <f>N13</f>
        <v>6</v>
      </c>
      <c r="D13" s="209">
        <v>2</v>
      </c>
      <c r="E13" s="210" t="s">
        <v>69</v>
      </c>
      <c r="F13" s="211" t="s">
        <v>55</v>
      </c>
      <c r="G13" s="212" t="s">
        <v>65</v>
      </c>
      <c r="H13" s="211"/>
      <c r="I13" s="212" t="s">
        <v>66</v>
      </c>
      <c r="J13" s="211"/>
      <c r="K13" s="212" t="s">
        <v>67</v>
      </c>
      <c r="L13" s="211"/>
      <c r="M13" s="213" t="s">
        <v>68</v>
      </c>
      <c r="N13" s="79">
        <f t="shared" si="10"/>
        <v>6</v>
      </c>
      <c r="O13" s="79">
        <f t="shared" si="11"/>
        <v>3</v>
      </c>
      <c r="P13" s="79" t="str">
        <f t="shared" si="12"/>
        <v/>
      </c>
      <c r="Q13" s="79" t="str">
        <f t="shared" si="13"/>
        <v/>
      </c>
      <c r="R13" s="79" t="str">
        <f t="shared" si="14"/>
        <v/>
      </c>
    </row>
    <row r="14" spans="1:24" ht="116.5" thickBot="1" x14ac:dyDescent="0.4">
      <c r="A14">
        <v>7</v>
      </c>
      <c r="B14" s="214"/>
      <c r="C14" s="215">
        <f>N14</f>
        <v>3</v>
      </c>
      <c r="D14" s="216">
        <v>1</v>
      </c>
      <c r="E14" s="217" t="s">
        <v>50</v>
      </c>
      <c r="F14" s="218" t="s">
        <v>55</v>
      </c>
      <c r="G14" s="219" t="s">
        <v>53</v>
      </c>
      <c r="H14" s="220"/>
      <c r="I14" s="219" t="s">
        <v>54</v>
      </c>
      <c r="J14" s="221"/>
      <c r="K14" s="219" t="s">
        <v>51</v>
      </c>
      <c r="L14" s="221"/>
      <c r="M14" s="222" t="s">
        <v>84</v>
      </c>
      <c r="N14" s="79">
        <f t="shared" si="9"/>
        <v>3</v>
      </c>
      <c r="O14" s="79">
        <f t="shared" si="4"/>
        <v>3</v>
      </c>
      <c r="P14" s="79" t="str">
        <f t="shared" si="5"/>
        <v/>
      </c>
      <c r="Q14" s="79" t="str">
        <f t="shared" si="6"/>
        <v/>
      </c>
      <c r="R14" s="79" t="str">
        <f t="shared" si="7"/>
        <v/>
      </c>
    </row>
    <row r="15" spans="1:24" ht="131" thickBot="1" x14ac:dyDescent="0.4">
      <c r="A15">
        <v>8</v>
      </c>
      <c r="B15" s="132" t="s">
        <v>56</v>
      </c>
      <c r="C15" s="133">
        <v>3</v>
      </c>
      <c r="D15" s="134">
        <v>1</v>
      </c>
      <c r="E15" s="135" t="s">
        <v>57</v>
      </c>
      <c r="F15" s="136" t="s">
        <v>55</v>
      </c>
      <c r="G15" s="137" t="s">
        <v>85</v>
      </c>
      <c r="H15" s="138"/>
      <c r="I15" s="137" t="s">
        <v>60</v>
      </c>
      <c r="J15" s="136"/>
      <c r="K15" s="137" t="s">
        <v>58</v>
      </c>
      <c r="L15" s="136"/>
      <c r="M15" s="139" t="s">
        <v>59</v>
      </c>
      <c r="N15" s="79">
        <f t="shared" si="9"/>
        <v>3</v>
      </c>
      <c r="O15" s="79">
        <f t="shared" si="4"/>
        <v>3</v>
      </c>
      <c r="P15" s="79" t="str">
        <f t="shared" si="5"/>
        <v/>
      </c>
      <c r="Q15" s="79" t="str">
        <f t="shared" si="6"/>
        <v/>
      </c>
      <c r="R15" s="79" t="str">
        <f t="shared" si="7"/>
        <v/>
      </c>
    </row>
    <row r="16" spans="1:24" s="114" customFormat="1" x14ac:dyDescent="0.35">
      <c r="A16"/>
      <c r="F16" s="123"/>
      <c r="H16" s="123"/>
      <c r="J16" s="123"/>
      <c r="N16" s="79" t="str">
        <f t="shared" si="9"/>
        <v/>
      </c>
      <c r="O16" s="79" t="str">
        <f t="shared" si="4"/>
        <v/>
      </c>
      <c r="P16" s="79" t="str">
        <f t="shared" si="5"/>
        <v/>
      </c>
      <c r="Q16" s="79" t="str">
        <f t="shared" si="6"/>
        <v/>
      </c>
      <c r="R16" s="79" t="str">
        <f t="shared" si="7"/>
        <v/>
      </c>
      <c r="S16" s="79"/>
      <c r="T16" s="79"/>
      <c r="U16" s="79"/>
      <c r="V16" s="79"/>
    </row>
    <row r="17" spans="1:1" x14ac:dyDescent="0.35">
      <c r="A17" s="114"/>
    </row>
  </sheetData>
  <sheetProtection selectLockedCells="1"/>
  <mergeCells count="7">
    <mergeCell ref="E3:K3"/>
    <mergeCell ref="C4:E4"/>
    <mergeCell ref="F4:G4"/>
    <mergeCell ref="H4:K4"/>
    <mergeCell ref="M4:M5"/>
    <mergeCell ref="C5:E5"/>
    <mergeCell ref="J5:L5"/>
  </mergeCells>
  <pageMargins left="0.70866141732283472" right="0.70866141732283472" top="0.74803149606299213" bottom="0.74803149606299213" header="0.31496062992125984" footer="0.31496062992125984"/>
  <pageSetup paperSize="9" scale="67" orientation="landscape" r:id="rId1"/>
  <headerFooter>
    <oddHeader>&amp;L&amp;14Periode 2 klas v5</oddHeader>
    <oddFooter>&amp;LDocent: Rachel&amp;C&amp;D&amp;R&amp;P van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252A8-2B9E-4D67-985B-EF4DA0F96037}">
  <dimension ref="A1:F1"/>
  <sheetViews>
    <sheetView workbookViewId="0">
      <selection activeCell="F1" sqref="F1"/>
    </sheetView>
  </sheetViews>
  <sheetFormatPr defaultRowHeight="14.5" x14ac:dyDescent="0.35"/>
  <cols>
    <col min="1" max="1" width="24" customWidth="1"/>
    <col min="2" max="4" width="5.453125" style="54" customWidth="1"/>
    <col min="5" max="5" width="59.54296875" style="52" customWidth="1"/>
    <col min="6" max="6" width="95" customWidth="1"/>
  </cols>
  <sheetData>
    <row r="1" spans="1:6" s="1" customFormat="1" x14ac:dyDescent="0.35">
      <c r="A1" s="1" t="s">
        <v>22</v>
      </c>
      <c r="B1" s="55" t="s">
        <v>26</v>
      </c>
      <c r="C1" s="55" t="s">
        <v>23</v>
      </c>
      <c r="D1" s="55" t="s">
        <v>24</v>
      </c>
      <c r="E1" s="56" t="s">
        <v>25</v>
      </c>
      <c r="F1" s="5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6D401-4754-4F8B-BE00-636BAF3714D8}">
  <dimension ref="A1:I26"/>
  <sheetViews>
    <sheetView workbookViewId="0">
      <selection activeCell="F1" sqref="F1"/>
    </sheetView>
  </sheetViews>
  <sheetFormatPr defaultColWidth="9.1796875" defaultRowHeight="14.5" x14ac:dyDescent="0.35"/>
  <cols>
    <col min="1" max="1" width="24" style="6" customWidth="1"/>
    <col min="2" max="4" width="5.453125" style="44" customWidth="1"/>
    <col min="5" max="5" width="59.54296875" style="53" customWidth="1"/>
    <col min="6" max="6" width="95" style="6" customWidth="1"/>
    <col min="7" max="16384" width="9.1796875" style="6"/>
  </cols>
  <sheetData>
    <row r="1" spans="1:9" s="58" customFormat="1" x14ac:dyDescent="0.35">
      <c r="A1" s="58" t="s">
        <v>22</v>
      </c>
      <c r="B1" s="59" t="s">
        <v>26</v>
      </c>
      <c r="C1" s="59" t="s">
        <v>23</v>
      </c>
      <c r="D1" s="59" t="s">
        <v>24</v>
      </c>
      <c r="E1" s="60" t="s">
        <v>25</v>
      </c>
      <c r="F1" s="59"/>
    </row>
    <row r="2" spans="1:9" x14ac:dyDescent="0.35">
      <c r="A2" s="60"/>
      <c r="B2" s="57"/>
    </row>
    <row r="6" spans="1:9" x14ac:dyDescent="0.35">
      <c r="F6" s="53"/>
    </row>
    <row r="7" spans="1:9" x14ac:dyDescent="0.35">
      <c r="F7" s="53"/>
    </row>
    <row r="9" spans="1:9" x14ac:dyDescent="0.35">
      <c r="A9" s="58"/>
    </row>
    <row r="12" spans="1:9" x14ac:dyDescent="0.35">
      <c r="A12" s="58"/>
    </row>
    <row r="14" spans="1:9" x14ac:dyDescent="0.35">
      <c r="A14" s="60"/>
    </row>
    <row r="16" spans="1:9" x14ac:dyDescent="0.35">
      <c r="E16" s="63"/>
      <c r="F16" s="3"/>
      <c r="G16"/>
      <c r="H16"/>
      <c r="I16"/>
    </row>
    <row r="17" spans="5:9" x14ac:dyDescent="0.35">
      <c r="E17" s="62"/>
      <c r="F17"/>
      <c r="G17" s="3"/>
      <c r="H17"/>
      <c r="I17"/>
    </row>
    <row r="18" spans="5:9" x14ac:dyDescent="0.35">
      <c r="E18" s="62"/>
      <c r="F18"/>
      <c r="G18"/>
      <c r="H18"/>
      <c r="I18" s="3"/>
    </row>
    <row r="19" spans="5:9" x14ac:dyDescent="0.35">
      <c r="E19" s="62"/>
      <c r="F19"/>
      <c r="G19"/>
      <c r="H19" s="3"/>
      <c r="I19"/>
    </row>
    <row r="20" spans="5:9" x14ac:dyDescent="0.35">
      <c r="E20" s="62"/>
      <c r="F20"/>
      <c r="G20"/>
      <c r="H20"/>
      <c r="I20"/>
    </row>
    <row r="21" spans="5:9" x14ac:dyDescent="0.35">
      <c r="E21" s="62"/>
      <c r="F21"/>
      <c r="G21"/>
      <c r="H21"/>
      <c r="I21" s="61"/>
    </row>
    <row r="22" spans="5:9" x14ac:dyDescent="0.35">
      <c r="E22" s="62"/>
      <c r="F22"/>
      <c r="G22"/>
      <c r="H22"/>
      <c r="I22"/>
    </row>
    <row r="23" spans="5:9" x14ac:dyDescent="0.35">
      <c r="E23" s="62"/>
      <c r="F23"/>
      <c r="G23"/>
      <c r="H23"/>
      <c r="I23"/>
    </row>
    <row r="24" spans="5:9" x14ac:dyDescent="0.35">
      <c r="E24" s="62"/>
      <c r="F24"/>
      <c r="G24"/>
      <c r="H24"/>
      <c r="I24"/>
    </row>
    <row r="25" spans="5:9" x14ac:dyDescent="0.35">
      <c r="E25" s="62"/>
      <c r="F25"/>
      <c r="G25"/>
      <c r="H25"/>
      <c r="I25"/>
    </row>
    <row r="26" spans="5:9" x14ac:dyDescent="0.35">
      <c r="E26" s="62"/>
      <c r="F26"/>
      <c r="G26"/>
      <c r="H26" s="3"/>
      <c r="I2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940C6-9203-4A9F-A1BC-5A7CD357C751}">
  <dimension ref="A1:K22"/>
  <sheetViews>
    <sheetView topLeftCell="A10" workbookViewId="0">
      <selection activeCell="A13" sqref="A13:XFD17"/>
    </sheetView>
  </sheetViews>
  <sheetFormatPr defaultColWidth="9.1796875" defaultRowHeight="14.5" x14ac:dyDescent="0.35"/>
  <cols>
    <col min="1" max="1" width="3.1796875" style="6" customWidth="1"/>
    <col min="2" max="2" width="9.1796875" style="6"/>
    <col min="3" max="3" width="51" style="6" customWidth="1"/>
    <col min="4" max="4" width="5.1796875" style="6" customWidth="1"/>
    <col min="5" max="5" width="35" style="6" customWidth="1"/>
    <col min="6" max="6" width="5.1796875" style="6" customWidth="1"/>
    <col min="7" max="7" width="35" style="6" customWidth="1"/>
    <col min="8" max="8" width="5.1796875" style="6" customWidth="1"/>
    <col min="9" max="9" width="35" style="6" customWidth="1"/>
    <col min="10" max="10" width="5.1796875" style="6" customWidth="1"/>
    <col min="11" max="11" width="35" style="6" customWidth="1"/>
    <col min="12" max="16384" width="9.1796875" style="6"/>
  </cols>
  <sheetData>
    <row r="1" spans="1:11" ht="15.5" x14ac:dyDescent="0.35">
      <c r="B1" s="28" t="s">
        <v>12</v>
      </c>
      <c r="C1" s="28" t="s">
        <v>18</v>
      </c>
    </row>
    <row r="2" spans="1:11" x14ac:dyDescent="0.35">
      <c r="B2" s="6" t="s">
        <v>1</v>
      </c>
      <c r="C2" s="27" t="s">
        <v>13</v>
      </c>
    </row>
    <row r="3" spans="1:11" x14ac:dyDescent="0.35">
      <c r="C3" s="27" t="s">
        <v>14</v>
      </c>
    </row>
    <row r="4" spans="1:11" x14ac:dyDescent="0.35">
      <c r="C4" s="27" t="s">
        <v>15</v>
      </c>
    </row>
    <row r="5" spans="1:11" x14ac:dyDescent="0.35">
      <c r="C5" s="27" t="s">
        <v>16</v>
      </c>
    </row>
    <row r="6" spans="1:11" x14ac:dyDescent="0.35">
      <c r="C6" s="27" t="s">
        <v>17</v>
      </c>
    </row>
    <row r="7" spans="1:11" ht="15" thickBot="1" x14ac:dyDescent="0.4"/>
    <row r="8" spans="1:11" s="2" customFormat="1" ht="24" customHeight="1" x14ac:dyDescent="0.35">
      <c r="B8" s="4" t="s">
        <v>2</v>
      </c>
      <c r="C8" s="29"/>
      <c r="D8" s="8"/>
      <c r="E8" s="9"/>
      <c r="F8" s="9"/>
      <c r="G8" s="9"/>
      <c r="H8" s="9"/>
      <c r="I8" s="9"/>
      <c r="J8" s="9"/>
      <c r="K8" s="16" t="str">
        <f>K19 &amp; " punten"</f>
        <v>0 punten</v>
      </c>
    </row>
    <row r="9" spans="1:11" s="2" customFormat="1" ht="24" customHeight="1" thickBot="1" x14ac:dyDescent="0.4">
      <c r="B9" s="5" t="s">
        <v>3</v>
      </c>
      <c r="C9" s="30"/>
      <c r="D9" s="10"/>
      <c r="E9" s="11"/>
      <c r="F9" s="11"/>
      <c r="G9" s="11"/>
      <c r="H9" s="183"/>
      <c r="I9" s="183"/>
      <c r="J9" s="184"/>
      <c r="K9" s="17" t="str">
        <f>IF(K18&gt;G18,"Voldoende","Onvoldoende")</f>
        <v>Onvoldoende</v>
      </c>
    </row>
    <row r="10" spans="1:11" s="2" customFormat="1" ht="19.5" customHeight="1" x14ac:dyDescent="0.35">
      <c r="B10" s="185" t="s">
        <v>4</v>
      </c>
      <c r="C10" s="186"/>
      <c r="D10" s="187" t="s">
        <v>5</v>
      </c>
      <c r="E10" s="188"/>
      <c r="F10" s="189" t="s">
        <v>6</v>
      </c>
      <c r="G10" s="190"/>
      <c r="H10" s="189" t="s">
        <v>7</v>
      </c>
      <c r="I10" s="190"/>
      <c r="J10" s="189" t="s">
        <v>8</v>
      </c>
      <c r="K10" s="190"/>
    </row>
    <row r="11" spans="1:11" ht="15" thickBot="1" x14ac:dyDescent="0.4">
      <c r="B11" s="195" t="s">
        <v>9</v>
      </c>
      <c r="C11" s="196"/>
      <c r="D11" s="18">
        <v>3</v>
      </c>
      <c r="E11" s="18"/>
      <c r="F11" s="18">
        <v>2</v>
      </c>
      <c r="G11" s="18"/>
      <c r="H11" s="18">
        <v>1</v>
      </c>
      <c r="I11" s="18"/>
      <c r="J11" s="18">
        <v>0</v>
      </c>
      <c r="K11" s="18"/>
    </row>
    <row r="12" spans="1:11" ht="15" thickBot="1" x14ac:dyDescent="0.4">
      <c r="A12" s="20">
        <v>1</v>
      </c>
      <c r="B12" s="167" t="s">
        <v>0</v>
      </c>
      <c r="C12" s="168"/>
      <c r="D12" s="21"/>
      <c r="E12" s="21"/>
      <c r="F12" s="22"/>
      <c r="G12" s="21"/>
      <c r="H12" s="22"/>
      <c r="I12" s="21"/>
      <c r="J12" s="22"/>
      <c r="K12" s="21"/>
    </row>
    <row r="13" spans="1:11" ht="75" customHeight="1" thickBot="1" x14ac:dyDescent="0.4">
      <c r="A13" s="23">
        <v>2</v>
      </c>
      <c r="B13" s="165"/>
      <c r="C13" s="166"/>
      <c r="D13" s="25"/>
      <c r="E13" s="24"/>
      <c r="F13" s="26"/>
      <c r="G13" s="24"/>
      <c r="H13" s="26"/>
      <c r="I13" s="24"/>
      <c r="J13" s="26"/>
      <c r="K13" s="24"/>
    </row>
    <row r="14" spans="1:11" ht="75" customHeight="1" thickBot="1" x14ac:dyDescent="0.4">
      <c r="A14" s="23">
        <v>3</v>
      </c>
      <c r="B14" s="165"/>
      <c r="C14" s="166"/>
      <c r="D14" s="25"/>
      <c r="E14" s="24"/>
      <c r="F14" s="26"/>
      <c r="G14" s="24"/>
      <c r="H14" s="26"/>
      <c r="I14" s="24"/>
      <c r="J14" s="26"/>
      <c r="K14" s="24"/>
    </row>
    <row r="15" spans="1:11" ht="75" customHeight="1" thickBot="1" x14ac:dyDescent="0.4">
      <c r="A15" s="23">
        <v>4</v>
      </c>
      <c r="B15" s="191"/>
      <c r="C15" s="192"/>
      <c r="D15" s="25"/>
      <c r="E15" s="24"/>
      <c r="F15" s="26"/>
      <c r="G15" s="24"/>
      <c r="H15" s="26"/>
      <c r="I15" s="24"/>
      <c r="J15" s="26"/>
      <c r="K15" s="24"/>
    </row>
    <row r="16" spans="1:11" ht="75" customHeight="1" thickBot="1" x14ac:dyDescent="0.4">
      <c r="A16" s="23">
        <v>5</v>
      </c>
      <c r="B16" s="191"/>
      <c r="C16" s="192"/>
      <c r="D16" s="25"/>
      <c r="E16" s="24"/>
      <c r="F16" s="26"/>
      <c r="G16" s="24"/>
      <c r="H16" s="26"/>
      <c r="I16" s="24"/>
      <c r="J16" s="26"/>
      <c r="K16" s="24"/>
    </row>
    <row r="17" spans="1:11" ht="75" customHeight="1" thickBot="1" x14ac:dyDescent="0.4">
      <c r="A17" s="23">
        <v>6</v>
      </c>
      <c r="B17" s="191"/>
      <c r="C17" s="192"/>
      <c r="D17" s="25"/>
      <c r="E17" s="24"/>
      <c r="F17" s="26"/>
      <c r="G17" s="24"/>
      <c r="H17" s="26"/>
      <c r="I17" s="24"/>
      <c r="J17" s="26"/>
      <c r="K17" s="24"/>
    </row>
    <row r="18" spans="1:11" ht="15" thickBot="1" x14ac:dyDescent="0.4">
      <c r="B18" s="193" t="str">
        <f>"Opdracht gehaald als min. "&amp;G19&amp;"  punten zijn behaald"</f>
        <v>Opdracht gehaald als min. 12  punten zijn behaald</v>
      </c>
      <c r="C18" s="194"/>
      <c r="D18" s="12">
        <f>COUNTIF(D12:D17,"x")*D$11</f>
        <v>0</v>
      </c>
      <c r="E18" s="12"/>
      <c r="F18" s="12">
        <f>COUNTIF(F12:F17,"x")*F$11</f>
        <v>0</v>
      </c>
      <c r="G18" s="12"/>
      <c r="H18" s="12">
        <f>COUNTIF(H12:H17,"x")*H$11</f>
        <v>0</v>
      </c>
      <c r="I18" s="12"/>
      <c r="J18" s="12">
        <f>COUNTIF(J12:J17,"x")*J$11</f>
        <v>0</v>
      </c>
      <c r="K18" s="12"/>
    </row>
    <row r="19" spans="1:11" x14ac:dyDescent="0.35">
      <c r="G19" s="19">
        <f>MAX(A12:A17)*2</f>
        <v>12</v>
      </c>
      <c r="K19" s="19">
        <f>SUM(D18,F18,H18,J18)</f>
        <v>0</v>
      </c>
    </row>
    <row r="20" spans="1:11" x14ac:dyDescent="0.35">
      <c r="G20" s="19"/>
      <c r="K20" s="19"/>
    </row>
    <row r="21" spans="1:11" x14ac:dyDescent="0.35">
      <c r="B21" s="7" t="s">
        <v>10</v>
      </c>
    </row>
    <row r="22" spans="1:11" x14ac:dyDescent="0.35">
      <c r="B22" s="7" t="s">
        <v>11</v>
      </c>
    </row>
  </sheetData>
  <sheetProtection selectLockedCells="1"/>
  <mergeCells count="14">
    <mergeCell ref="B17:C17"/>
    <mergeCell ref="B18:C18"/>
    <mergeCell ref="B11:C11"/>
    <mergeCell ref="B12:C12"/>
    <mergeCell ref="B13:C13"/>
    <mergeCell ref="B14:C14"/>
    <mergeCell ref="B15:C15"/>
    <mergeCell ref="B16:C16"/>
    <mergeCell ref="H9:J9"/>
    <mergeCell ref="B10:C10"/>
    <mergeCell ref="D10:E10"/>
    <mergeCell ref="F10:G10"/>
    <mergeCell ref="H10:I10"/>
    <mergeCell ref="J10:K10"/>
  </mergeCells>
  <hyperlinks>
    <hyperlink ref="B21" location="_ftnref1" display="_ftnref1" xr:uid="{CB34FCCD-31F5-4DAD-9BC0-9D5CABF9D2F1}"/>
    <hyperlink ref="B22" location="_ftnref2" display="_ftnref2" xr:uid="{AF297E39-76C4-46CB-B4DE-850DE252EADC}"/>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3df6a5f-9334-4503-a845-5e05459a4c71" xsi:nil="true"/>
    <lcf76f155ced4ddcb4097134ff3c332f xmlns="f4e2a46a-23c2-4334-b75b-1fdac0161bf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AB0E9F571640B468B2DC77EAB3A1991" ma:contentTypeVersion="18" ma:contentTypeDescription="Create a new document." ma:contentTypeScope="" ma:versionID="83d44c5b00e0b6a3f290d55442d18607">
  <xsd:schema xmlns:xsd="http://www.w3.org/2001/XMLSchema" xmlns:xs="http://www.w3.org/2001/XMLSchema" xmlns:p="http://schemas.microsoft.com/office/2006/metadata/properties" xmlns:ns2="5f8263b4-b251-423e-a0b2-4f1c9f26e8d1" xmlns:ns3="f4e2a46a-23c2-4334-b75b-1fdac0161bf5" xmlns:ns4="53df6a5f-9334-4503-a845-5e05459a4c71" targetNamespace="http://schemas.microsoft.com/office/2006/metadata/properties" ma:root="true" ma:fieldsID="956467d16ce529f3bb428eacf59b6243" ns2:_="" ns3:_="" ns4:_="">
    <xsd:import namespace="5f8263b4-b251-423e-a0b2-4f1c9f26e8d1"/>
    <xsd:import namespace="f4e2a46a-23c2-4334-b75b-1fdac0161bf5"/>
    <xsd:import namespace="53df6a5f-9334-4503-a845-5e05459a4c71"/>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LengthInSeconds" minOccurs="0"/>
                <xsd:element ref="ns3:MediaServiceAutoTags" minOccurs="0"/>
                <xsd:element ref="ns3:MediaServiceGenerationTime" minOccurs="0"/>
                <xsd:element ref="ns3:MediaServiceEventHashCode" minOccurs="0"/>
                <xsd:element ref="ns3:MediaServiceOCR" minOccurs="0"/>
                <xsd:element ref="ns3:MediaServiceLocation" minOccurs="0"/>
                <xsd:element ref="ns3:lcf76f155ced4ddcb4097134ff3c332f" minOccurs="0"/>
                <xsd:element ref="ns4: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8263b4-b251-423e-a0b2-4f1c9f26e8d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4e2a46a-23c2-4334-b75b-1fdac0161bf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b077af7-eccc-41ba-8726-6d08c81cb05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3df6a5f-9334-4503-a845-5e05459a4c71"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0f70c527-3d7f-49a7-9de7-5114733e2026}" ma:internalName="TaxCatchAll" ma:showField="CatchAllData" ma:web="5f8263b4-b251-423e-a0b2-4f1c9f26e8d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62A616E-173C-4567-B26C-907BE9BB0CD9}">
  <ds:schemaRefs>
    <ds:schemaRef ds:uri="http://schemas.microsoft.com/sharepoint/v3/contenttype/forms"/>
  </ds:schemaRefs>
</ds:datastoreItem>
</file>

<file path=customXml/itemProps2.xml><?xml version="1.0" encoding="utf-8"?>
<ds:datastoreItem xmlns:ds="http://schemas.openxmlformats.org/officeDocument/2006/customXml" ds:itemID="{9A49453C-2E59-4C98-AA7C-CB0DD8312623}">
  <ds:schemaRefs>
    <ds:schemaRef ds:uri="http://schemas.microsoft.com/office/2006/metadata/properties"/>
    <ds:schemaRef ds:uri="http://schemas.microsoft.com/office/infopath/2007/PartnerControls"/>
    <ds:schemaRef ds:uri="53df6a5f-9334-4503-a845-5e05459a4c71"/>
    <ds:schemaRef ds:uri="f4e2a46a-23c2-4334-b75b-1fdac0161bf5"/>
    <ds:schemaRef ds:uri="ac553a55-80e6-42bc-80d2-d0e3f05fe201"/>
    <ds:schemaRef ds:uri="e573fd87-e1c4-4166-b888-d5b08df4eb68"/>
  </ds:schemaRefs>
</ds:datastoreItem>
</file>

<file path=customXml/itemProps3.xml><?xml version="1.0" encoding="utf-8"?>
<ds:datastoreItem xmlns:ds="http://schemas.openxmlformats.org/officeDocument/2006/customXml" ds:itemID="{28E08E7E-8BCA-4F51-8560-EFBE0B2063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8263b4-b251-423e-a0b2-4f1c9f26e8d1"/>
    <ds:schemaRef ds:uri="f4e2a46a-23c2-4334-b75b-1fdac0161bf5"/>
    <ds:schemaRef ds:uri="53df6a5f-9334-4503-a845-5e05459a4c7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Werkbladen</vt:lpstr>
      </vt:variant>
      <vt:variant>
        <vt:i4>5</vt:i4>
      </vt:variant>
      <vt:variant>
        <vt:lpstr>Benoemde bereiken</vt:lpstr>
      </vt:variant>
      <vt:variant>
        <vt:i4>4</vt:i4>
      </vt:variant>
    </vt:vector>
  </HeadingPairs>
  <TitlesOfParts>
    <vt:vector size="9" baseType="lpstr">
      <vt:lpstr>Template</vt:lpstr>
      <vt:lpstr>Eindopdracht PC</vt:lpstr>
      <vt:lpstr>Toets A</vt:lpstr>
      <vt:lpstr>Toets B</vt:lpstr>
      <vt:lpstr>TMP</vt:lpstr>
      <vt:lpstr>Template!_ftn1</vt:lpstr>
      <vt:lpstr>TMP!_ftn1</vt:lpstr>
      <vt:lpstr>Template!_ftn2</vt:lpstr>
      <vt:lpstr>TMP!_ftn2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Rachel Baan</dc:creator>
  <cp:keywords/>
  <dc:description/>
  <cp:lastModifiedBy>Renske Weeda</cp:lastModifiedBy>
  <cp:revision/>
  <dcterms:created xsi:type="dcterms:W3CDTF">2021-09-17T07:20:17Z</dcterms:created>
  <dcterms:modified xsi:type="dcterms:W3CDTF">2025-12-04T09:39:14Z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0x0101005AB0E9F571640B468B2DC77EAB3A1991</vt:lpwstr>
  </property>
  <property fmtid="{D5CDD505-2E9C-101B-9397-08002B2CF9AE}" pid="3" name="MediaServiceImageTags">
    <vt:lpwstr/>
  </property>
</Properties>
</file>